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0335C17-23D0-48DE-8B22-6E770D76816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lanilha1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475" i="2" l="1"/>
  <c r="Z475" i="2" s="1"/>
  <c r="M475" i="2"/>
  <c r="L475" i="2"/>
  <c r="E475" i="2"/>
  <c r="J475" i="2" s="1"/>
  <c r="N475" i="2" s="1"/>
  <c r="O475" i="2" s="1"/>
  <c r="P474" i="2"/>
  <c r="Q474" i="2" s="1"/>
  <c r="AA474" i="2" s="1"/>
  <c r="M474" i="2"/>
  <c r="L474" i="2"/>
  <c r="E474" i="2"/>
  <c r="J474" i="2" s="1"/>
  <c r="N474" i="2" s="1"/>
  <c r="O474" i="2" s="1"/>
  <c r="P473" i="2"/>
  <c r="U473" i="2" s="1"/>
  <c r="W473" i="2" s="1"/>
  <c r="M473" i="2"/>
  <c r="L473" i="2"/>
  <c r="J473" i="2"/>
  <c r="F473" i="2"/>
  <c r="P472" i="2"/>
  <c r="M472" i="2"/>
  <c r="L472" i="2"/>
  <c r="F472" i="2"/>
  <c r="J472" i="2" s="1"/>
  <c r="N472" i="2" s="1"/>
  <c r="O472" i="2" s="1"/>
  <c r="P471" i="2"/>
  <c r="X471" i="2" s="1"/>
  <c r="M471" i="2"/>
  <c r="L471" i="2"/>
  <c r="E471" i="2"/>
  <c r="J471" i="2" s="1"/>
  <c r="N471" i="2" s="1"/>
  <c r="O471" i="2" s="1"/>
  <c r="P470" i="2"/>
  <c r="M470" i="2"/>
  <c r="L470" i="2"/>
  <c r="E470" i="2"/>
  <c r="J470" i="2" s="1"/>
  <c r="N470" i="2" s="1"/>
  <c r="O470" i="2" s="1"/>
  <c r="P469" i="2"/>
  <c r="Q469" i="2" s="1"/>
  <c r="AA469" i="2" s="1"/>
  <c r="M469" i="2"/>
  <c r="L469" i="2"/>
  <c r="J469" i="2"/>
  <c r="N469" i="2" s="1"/>
  <c r="O469" i="2" s="1"/>
  <c r="E469" i="2"/>
  <c r="P468" i="2"/>
  <c r="M468" i="2"/>
  <c r="L468" i="2"/>
  <c r="E468" i="2"/>
  <c r="J468" i="2" s="1"/>
  <c r="N468" i="2" s="1"/>
  <c r="O468" i="2" s="1"/>
  <c r="P467" i="2"/>
  <c r="Z467" i="2" s="1"/>
  <c r="M467" i="2"/>
  <c r="L467" i="2"/>
  <c r="F467" i="2"/>
  <c r="J467" i="2" s="1"/>
  <c r="N467" i="2" s="1"/>
  <c r="O467" i="2" s="1"/>
  <c r="P466" i="2"/>
  <c r="Q466" i="2" s="1"/>
  <c r="AA466" i="2" s="1"/>
  <c r="M466" i="2"/>
  <c r="L466" i="2"/>
  <c r="E466" i="2"/>
  <c r="J466" i="2" s="1"/>
  <c r="N466" i="2" s="1"/>
  <c r="O466" i="2" s="1"/>
  <c r="P465" i="2"/>
  <c r="Q465" i="2" s="1"/>
  <c r="M465" i="2"/>
  <c r="L465" i="2"/>
  <c r="J465" i="2"/>
  <c r="N465" i="2" s="1"/>
  <c r="O465" i="2" s="1"/>
  <c r="E465" i="2"/>
  <c r="P464" i="2"/>
  <c r="N464" i="2"/>
  <c r="O464" i="2" s="1"/>
  <c r="M464" i="2"/>
  <c r="L464" i="2"/>
  <c r="F464" i="2"/>
  <c r="J464" i="2" s="1"/>
  <c r="P463" i="2"/>
  <c r="U463" i="2" s="1"/>
  <c r="W463" i="2" s="1"/>
  <c r="M463" i="2"/>
  <c r="L463" i="2"/>
  <c r="F463" i="2"/>
  <c r="J463" i="2" s="1"/>
  <c r="N463" i="2" s="1"/>
  <c r="O463" i="2" s="1"/>
  <c r="P462" i="2"/>
  <c r="Q462" i="2" s="1"/>
  <c r="AA462" i="2" s="1"/>
  <c r="M462" i="2"/>
  <c r="L462" i="2"/>
  <c r="F462" i="2"/>
  <c r="J462" i="2" s="1"/>
  <c r="N462" i="2" s="1"/>
  <c r="O462" i="2" s="1"/>
  <c r="P461" i="2"/>
  <c r="Q461" i="2" s="1"/>
  <c r="M461" i="2"/>
  <c r="L461" i="2"/>
  <c r="J461" i="2"/>
  <c r="F461" i="2"/>
  <c r="P460" i="2"/>
  <c r="M460" i="2"/>
  <c r="L460" i="2"/>
  <c r="E460" i="2"/>
  <c r="J460" i="2" s="1"/>
  <c r="N460" i="2" s="1"/>
  <c r="O460" i="2" s="1"/>
  <c r="P459" i="2"/>
  <c r="Z459" i="2" s="1"/>
  <c r="M459" i="2"/>
  <c r="L459" i="2"/>
  <c r="E459" i="2"/>
  <c r="J459" i="2" s="1"/>
  <c r="P458" i="2"/>
  <c r="M458" i="2"/>
  <c r="L458" i="2"/>
  <c r="E458" i="2"/>
  <c r="J458" i="2" s="1"/>
  <c r="N458" i="2" s="1"/>
  <c r="O458" i="2" s="1"/>
  <c r="P457" i="2"/>
  <c r="M457" i="2"/>
  <c r="L457" i="2"/>
  <c r="J457" i="2"/>
  <c r="E457" i="2"/>
  <c r="P456" i="2"/>
  <c r="N456" i="2"/>
  <c r="O456" i="2" s="1"/>
  <c r="M456" i="2"/>
  <c r="L456" i="2"/>
  <c r="E456" i="2"/>
  <c r="J456" i="2" s="1"/>
  <c r="P455" i="2"/>
  <c r="Z455" i="2" s="1"/>
  <c r="M455" i="2"/>
  <c r="L455" i="2"/>
  <c r="E455" i="2"/>
  <c r="J455" i="2" s="1"/>
  <c r="P454" i="2"/>
  <c r="U454" i="2" s="1"/>
  <c r="V454" i="2" s="1"/>
  <c r="M454" i="2"/>
  <c r="L454" i="2"/>
  <c r="E454" i="2"/>
  <c r="J454" i="2" s="1"/>
  <c r="N454" i="2" s="1"/>
  <c r="O454" i="2" s="1"/>
  <c r="P453" i="2"/>
  <c r="X453" i="2" s="1"/>
  <c r="M453" i="2"/>
  <c r="L453" i="2"/>
  <c r="J453" i="2"/>
  <c r="E453" i="2"/>
  <c r="P452" i="2"/>
  <c r="Y452" i="2" s="1"/>
  <c r="N452" i="2"/>
  <c r="O452" i="2" s="1"/>
  <c r="M452" i="2"/>
  <c r="L452" i="2"/>
  <c r="E452" i="2"/>
  <c r="J452" i="2" s="1"/>
  <c r="P451" i="2"/>
  <c r="M451" i="2"/>
  <c r="L451" i="2"/>
  <c r="E451" i="2"/>
  <c r="J451" i="2" s="1"/>
  <c r="P450" i="2"/>
  <c r="U450" i="2" s="1"/>
  <c r="M450" i="2"/>
  <c r="L450" i="2"/>
  <c r="E450" i="2"/>
  <c r="J450" i="2" s="1"/>
  <c r="N450" i="2" s="1"/>
  <c r="O450" i="2" s="1"/>
  <c r="P449" i="2"/>
  <c r="M449" i="2"/>
  <c r="L449" i="2"/>
  <c r="J449" i="2"/>
  <c r="N449" i="2" s="1"/>
  <c r="O449" i="2" s="1"/>
  <c r="E449" i="2"/>
  <c r="P448" i="2"/>
  <c r="U448" i="2" s="1"/>
  <c r="M448" i="2"/>
  <c r="L448" i="2"/>
  <c r="E448" i="2"/>
  <c r="J448" i="2" s="1"/>
  <c r="N448" i="2" s="1"/>
  <c r="O448" i="2" s="1"/>
  <c r="P447" i="2"/>
  <c r="X447" i="2" s="1"/>
  <c r="M447" i="2"/>
  <c r="L447" i="2"/>
  <c r="E447" i="2"/>
  <c r="J447" i="2" s="1"/>
  <c r="P446" i="2"/>
  <c r="O446" i="2"/>
  <c r="M446" i="2"/>
  <c r="L446" i="2"/>
  <c r="E446" i="2"/>
  <c r="J446" i="2" s="1"/>
  <c r="N446" i="2" s="1"/>
  <c r="P445" i="2"/>
  <c r="Q445" i="2" s="1"/>
  <c r="M445" i="2"/>
  <c r="L445" i="2"/>
  <c r="E445" i="2"/>
  <c r="J445" i="2" s="1"/>
  <c r="P444" i="2"/>
  <c r="U444" i="2" s="1"/>
  <c r="W444" i="2" s="1"/>
  <c r="M444" i="2"/>
  <c r="N444" i="2" s="1"/>
  <c r="O444" i="2" s="1"/>
  <c r="L444" i="2"/>
  <c r="E444" i="2"/>
  <c r="J444" i="2" s="1"/>
  <c r="P443" i="2"/>
  <c r="Z443" i="2" s="1"/>
  <c r="M443" i="2"/>
  <c r="L443" i="2"/>
  <c r="E443" i="2"/>
  <c r="J443" i="2" s="1"/>
  <c r="P442" i="2"/>
  <c r="U442" i="2" s="1"/>
  <c r="W442" i="2" s="1"/>
  <c r="M442" i="2"/>
  <c r="L442" i="2"/>
  <c r="E442" i="2"/>
  <c r="J442" i="2" s="1"/>
  <c r="N442" i="2" s="1"/>
  <c r="O442" i="2" s="1"/>
  <c r="P441" i="2"/>
  <c r="Q441" i="2" s="1"/>
  <c r="M441" i="2"/>
  <c r="L441" i="2"/>
  <c r="E441" i="2"/>
  <c r="J441" i="2" s="1"/>
  <c r="N441" i="2" s="1"/>
  <c r="O441" i="2" s="1"/>
  <c r="P440" i="2"/>
  <c r="Y440" i="2" s="1"/>
  <c r="M440" i="2"/>
  <c r="L440" i="2"/>
  <c r="E440" i="2"/>
  <c r="J440" i="2" s="1"/>
  <c r="N440" i="2" s="1"/>
  <c r="O440" i="2" s="1"/>
  <c r="P439" i="2"/>
  <c r="Z439" i="2" s="1"/>
  <c r="O439" i="2"/>
  <c r="M439" i="2"/>
  <c r="L439" i="2"/>
  <c r="E439" i="2"/>
  <c r="J439" i="2" s="1"/>
  <c r="N439" i="2" s="1"/>
  <c r="P438" i="2"/>
  <c r="X438" i="2" s="1"/>
  <c r="M438" i="2"/>
  <c r="L438" i="2"/>
  <c r="E438" i="2"/>
  <c r="J438" i="2" s="1"/>
  <c r="P437" i="2"/>
  <c r="Q437" i="2" s="1"/>
  <c r="M437" i="2"/>
  <c r="L437" i="2"/>
  <c r="J437" i="2"/>
  <c r="N437" i="2" s="1"/>
  <c r="O437" i="2" s="1"/>
  <c r="E437" i="2"/>
  <c r="P436" i="2"/>
  <c r="M436" i="2"/>
  <c r="L436" i="2"/>
  <c r="E436" i="2"/>
  <c r="J436" i="2" s="1"/>
  <c r="N436" i="2" s="1"/>
  <c r="O436" i="2" s="1"/>
  <c r="P435" i="2"/>
  <c r="Z435" i="2" s="1"/>
  <c r="M435" i="2"/>
  <c r="L435" i="2"/>
  <c r="E435" i="2"/>
  <c r="J435" i="2" s="1"/>
  <c r="N435" i="2" s="1"/>
  <c r="O435" i="2" s="1"/>
  <c r="P434" i="2"/>
  <c r="X434" i="2" s="1"/>
  <c r="M434" i="2"/>
  <c r="L434" i="2"/>
  <c r="E434" i="2"/>
  <c r="J434" i="2" s="1"/>
  <c r="P433" i="2"/>
  <c r="Q433" i="2" s="1"/>
  <c r="M433" i="2"/>
  <c r="L433" i="2"/>
  <c r="J433" i="2"/>
  <c r="N433" i="2" s="1"/>
  <c r="O433" i="2" s="1"/>
  <c r="E433" i="2"/>
  <c r="P432" i="2"/>
  <c r="U432" i="2" s="1"/>
  <c r="M432" i="2"/>
  <c r="L432" i="2"/>
  <c r="E432" i="2"/>
  <c r="J432" i="2" s="1"/>
  <c r="N432" i="2" s="1"/>
  <c r="O432" i="2" s="1"/>
  <c r="P431" i="2"/>
  <c r="M431" i="2"/>
  <c r="L431" i="2"/>
  <c r="E431" i="2"/>
  <c r="J431" i="2" s="1"/>
  <c r="N431" i="2" s="1"/>
  <c r="O431" i="2" s="1"/>
  <c r="P430" i="2"/>
  <c r="O430" i="2"/>
  <c r="M430" i="2"/>
  <c r="L430" i="2"/>
  <c r="E430" i="2"/>
  <c r="J430" i="2" s="1"/>
  <c r="N430" i="2" s="1"/>
  <c r="P429" i="2"/>
  <c r="Q429" i="2" s="1"/>
  <c r="M429" i="2"/>
  <c r="L429" i="2"/>
  <c r="E429" i="2"/>
  <c r="J429" i="2" s="1"/>
  <c r="P428" i="2"/>
  <c r="M428" i="2"/>
  <c r="L428" i="2"/>
  <c r="E428" i="2"/>
  <c r="J428" i="2" s="1"/>
  <c r="P427" i="2"/>
  <c r="Q427" i="2" s="1"/>
  <c r="M427" i="2"/>
  <c r="L427" i="2"/>
  <c r="J427" i="2"/>
  <c r="N427" i="2" s="1"/>
  <c r="O427" i="2" s="1"/>
  <c r="E427" i="2"/>
  <c r="P426" i="2"/>
  <c r="M426" i="2"/>
  <c r="L426" i="2"/>
  <c r="J426" i="2"/>
  <c r="N426" i="2" s="1"/>
  <c r="O426" i="2" s="1"/>
  <c r="E426" i="2"/>
  <c r="P425" i="2"/>
  <c r="X425" i="2" s="1"/>
  <c r="M425" i="2"/>
  <c r="L425" i="2"/>
  <c r="J425" i="2"/>
  <c r="N425" i="2" s="1"/>
  <c r="O425" i="2" s="1"/>
  <c r="E425" i="2"/>
  <c r="P424" i="2"/>
  <c r="Y424" i="2" s="1"/>
  <c r="M424" i="2"/>
  <c r="L424" i="2"/>
  <c r="E424" i="2"/>
  <c r="J424" i="2" s="1"/>
  <c r="N424" i="2" s="1"/>
  <c r="O424" i="2" s="1"/>
  <c r="P423" i="2"/>
  <c r="Q423" i="2" s="1"/>
  <c r="M423" i="2"/>
  <c r="L423" i="2"/>
  <c r="J423" i="2"/>
  <c r="N423" i="2" s="1"/>
  <c r="O423" i="2" s="1"/>
  <c r="E423" i="2"/>
  <c r="P422" i="2"/>
  <c r="Y422" i="2" s="1"/>
  <c r="M422" i="2"/>
  <c r="L422" i="2"/>
  <c r="J422" i="2"/>
  <c r="N422" i="2" s="1"/>
  <c r="O422" i="2" s="1"/>
  <c r="E422" i="2"/>
  <c r="P421" i="2"/>
  <c r="X421" i="2" s="1"/>
  <c r="M421" i="2"/>
  <c r="L421" i="2"/>
  <c r="J421" i="2"/>
  <c r="N421" i="2" s="1"/>
  <c r="O421" i="2" s="1"/>
  <c r="E421" i="2"/>
  <c r="P420" i="2"/>
  <c r="X420" i="2" s="1"/>
  <c r="M420" i="2"/>
  <c r="L420" i="2"/>
  <c r="E420" i="2"/>
  <c r="J420" i="2" s="1"/>
  <c r="N420" i="2" s="1"/>
  <c r="O420" i="2" s="1"/>
  <c r="P419" i="2"/>
  <c r="M419" i="2"/>
  <c r="L419" i="2"/>
  <c r="J419" i="2"/>
  <c r="N419" i="2" s="1"/>
  <c r="O419" i="2" s="1"/>
  <c r="E419" i="2"/>
  <c r="P418" i="2"/>
  <c r="Y418" i="2" s="1"/>
  <c r="M418" i="2"/>
  <c r="L418" i="2"/>
  <c r="J418" i="2"/>
  <c r="N418" i="2" s="1"/>
  <c r="O418" i="2" s="1"/>
  <c r="E418" i="2"/>
  <c r="P417" i="2"/>
  <c r="M417" i="2"/>
  <c r="L417" i="2"/>
  <c r="E417" i="2"/>
  <c r="J417" i="2" s="1"/>
  <c r="N417" i="2" s="1"/>
  <c r="O417" i="2" s="1"/>
  <c r="P416" i="2"/>
  <c r="Y416" i="2" s="1"/>
  <c r="M416" i="2"/>
  <c r="L416" i="2"/>
  <c r="E416" i="2"/>
  <c r="J416" i="2" s="1"/>
  <c r="N416" i="2" s="1"/>
  <c r="O416" i="2" s="1"/>
  <c r="P415" i="2"/>
  <c r="Q415" i="2" s="1"/>
  <c r="M415" i="2"/>
  <c r="L415" i="2"/>
  <c r="J415" i="2"/>
  <c r="N415" i="2" s="1"/>
  <c r="O415" i="2" s="1"/>
  <c r="E415" i="2"/>
  <c r="P414" i="2"/>
  <c r="Y414" i="2" s="1"/>
  <c r="M414" i="2"/>
  <c r="L414" i="2"/>
  <c r="J414" i="2"/>
  <c r="N414" i="2" s="1"/>
  <c r="O414" i="2" s="1"/>
  <c r="E414" i="2"/>
  <c r="P413" i="2"/>
  <c r="X413" i="2" s="1"/>
  <c r="M413" i="2"/>
  <c r="L413" i="2"/>
  <c r="J413" i="2"/>
  <c r="N413" i="2" s="1"/>
  <c r="O413" i="2" s="1"/>
  <c r="E413" i="2"/>
  <c r="P412" i="2"/>
  <c r="Y412" i="2" s="1"/>
  <c r="N412" i="2"/>
  <c r="O412" i="2" s="1"/>
  <c r="M412" i="2"/>
  <c r="L412" i="2"/>
  <c r="E412" i="2"/>
  <c r="J412" i="2" s="1"/>
  <c r="P411" i="2"/>
  <c r="M411" i="2"/>
  <c r="L411" i="2"/>
  <c r="J411" i="2"/>
  <c r="N411" i="2" s="1"/>
  <c r="O411" i="2" s="1"/>
  <c r="E411" i="2"/>
  <c r="P410" i="2"/>
  <c r="Y410" i="2" s="1"/>
  <c r="M410" i="2"/>
  <c r="L410" i="2"/>
  <c r="J410" i="2"/>
  <c r="N410" i="2" s="1"/>
  <c r="O410" i="2" s="1"/>
  <c r="E410" i="2"/>
  <c r="P409" i="2"/>
  <c r="X409" i="2" s="1"/>
  <c r="M409" i="2"/>
  <c r="L409" i="2"/>
  <c r="J409" i="2"/>
  <c r="N409" i="2" s="1"/>
  <c r="O409" i="2" s="1"/>
  <c r="E409" i="2"/>
  <c r="P408" i="2"/>
  <c r="X408" i="2" s="1"/>
  <c r="M408" i="2"/>
  <c r="N408" i="2" s="1"/>
  <c r="O408" i="2" s="1"/>
  <c r="L408" i="2"/>
  <c r="E408" i="2"/>
  <c r="J408" i="2" s="1"/>
  <c r="P407" i="2"/>
  <c r="M407" i="2"/>
  <c r="L407" i="2"/>
  <c r="J407" i="2"/>
  <c r="N407" i="2" s="1"/>
  <c r="O407" i="2" s="1"/>
  <c r="E407" i="2"/>
  <c r="P406" i="2"/>
  <c r="Y406" i="2" s="1"/>
  <c r="M406" i="2"/>
  <c r="L406" i="2"/>
  <c r="J406" i="2"/>
  <c r="N406" i="2" s="1"/>
  <c r="O406" i="2" s="1"/>
  <c r="E406" i="2"/>
  <c r="P405" i="2"/>
  <c r="M405" i="2"/>
  <c r="L405" i="2"/>
  <c r="J405" i="2"/>
  <c r="N405" i="2" s="1"/>
  <c r="O405" i="2" s="1"/>
  <c r="E405" i="2"/>
  <c r="P404" i="2"/>
  <c r="Y404" i="2" s="1"/>
  <c r="N404" i="2"/>
  <c r="O404" i="2" s="1"/>
  <c r="M404" i="2"/>
  <c r="L404" i="2"/>
  <c r="E404" i="2"/>
  <c r="J404" i="2" s="1"/>
  <c r="P403" i="2"/>
  <c r="M403" i="2"/>
  <c r="L403" i="2"/>
  <c r="J403" i="2"/>
  <c r="N403" i="2" s="1"/>
  <c r="O403" i="2" s="1"/>
  <c r="E403" i="2"/>
  <c r="P402" i="2"/>
  <c r="M402" i="2"/>
  <c r="L402" i="2"/>
  <c r="J402" i="2"/>
  <c r="N402" i="2" s="1"/>
  <c r="O402" i="2" s="1"/>
  <c r="E402" i="2"/>
  <c r="P401" i="2"/>
  <c r="X401" i="2" s="1"/>
  <c r="O401" i="2"/>
  <c r="M401" i="2"/>
  <c r="L401" i="2"/>
  <c r="E401" i="2"/>
  <c r="J401" i="2" s="1"/>
  <c r="N401" i="2" s="1"/>
  <c r="P400" i="2"/>
  <c r="X400" i="2" s="1"/>
  <c r="N400" i="2"/>
  <c r="O400" i="2" s="1"/>
  <c r="M400" i="2"/>
  <c r="L400" i="2"/>
  <c r="E400" i="2"/>
  <c r="J400" i="2" s="1"/>
  <c r="P399" i="2"/>
  <c r="Q399" i="2" s="1"/>
  <c r="M399" i="2"/>
  <c r="L399" i="2"/>
  <c r="J399" i="2"/>
  <c r="N399" i="2" s="1"/>
  <c r="O399" i="2" s="1"/>
  <c r="E399" i="2"/>
  <c r="P398" i="2"/>
  <c r="Y398" i="2" s="1"/>
  <c r="N398" i="2"/>
  <c r="O398" i="2" s="1"/>
  <c r="M398" i="2"/>
  <c r="L398" i="2"/>
  <c r="J398" i="2"/>
  <c r="E398" i="2"/>
  <c r="P397" i="2"/>
  <c r="U397" i="2" s="1"/>
  <c r="M397" i="2"/>
  <c r="L397" i="2"/>
  <c r="J397" i="2"/>
  <c r="N397" i="2" s="1"/>
  <c r="O397" i="2" s="1"/>
  <c r="E397" i="2"/>
  <c r="P396" i="2"/>
  <c r="X396" i="2" s="1"/>
  <c r="M396" i="2"/>
  <c r="L396" i="2"/>
  <c r="E396" i="2"/>
  <c r="J396" i="2" s="1"/>
  <c r="N396" i="2" s="1"/>
  <c r="O396" i="2" s="1"/>
  <c r="P395" i="2"/>
  <c r="U395" i="2" s="1"/>
  <c r="M395" i="2"/>
  <c r="L395" i="2"/>
  <c r="J395" i="2"/>
  <c r="N395" i="2" s="1"/>
  <c r="O395" i="2" s="1"/>
  <c r="E395" i="2"/>
  <c r="P394" i="2"/>
  <c r="Y394" i="2" s="1"/>
  <c r="N394" i="2"/>
  <c r="O394" i="2" s="1"/>
  <c r="M394" i="2"/>
  <c r="L394" i="2"/>
  <c r="J394" i="2"/>
  <c r="E394" i="2"/>
  <c r="P393" i="2"/>
  <c r="Y393" i="2" s="1"/>
  <c r="N393" i="2"/>
  <c r="O393" i="2" s="1"/>
  <c r="M393" i="2"/>
  <c r="L393" i="2"/>
  <c r="J393" i="2"/>
  <c r="F393" i="2"/>
  <c r="P392" i="2"/>
  <c r="M392" i="2"/>
  <c r="L392" i="2"/>
  <c r="E392" i="2"/>
  <c r="J392" i="2" s="1"/>
  <c r="P391" i="2"/>
  <c r="Z391" i="2" s="1"/>
  <c r="M391" i="2"/>
  <c r="L391" i="2"/>
  <c r="J391" i="2"/>
  <c r="N391" i="2" s="1"/>
  <c r="O391" i="2" s="1"/>
  <c r="E391" i="2"/>
  <c r="P390" i="2"/>
  <c r="N390" i="2"/>
  <c r="O390" i="2" s="1"/>
  <c r="M390" i="2"/>
  <c r="L390" i="2"/>
  <c r="J390" i="2"/>
  <c r="E390" i="2"/>
  <c r="P389" i="2"/>
  <c r="U389" i="2" s="1"/>
  <c r="W389" i="2" s="1"/>
  <c r="M389" i="2"/>
  <c r="L389" i="2"/>
  <c r="E389" i="2"/>
  <c r="J389" i="2" s="1"/>
  <c r="N389" i="2" s="1"/>
  <c r="O389" i="2" s="1"/>
  <c r="P388" i="2"/>
  <c r="X388" i="2" s="1"/>
  <c r="N388" i="2"/>
  <c r="O388" i="2" s="1"/>
  <c r="M388" i="2"/>
  <c r="L388" i="2"/>
  <c r="E388" i="2"/>
  <c r="J388" i="2" s="1"/>
  <c r="P387" i="2"/>
  <c r="U387" i="2" s="1"/>
  <c r="M387" i="2"/>
  <c r="L387" i="2"/>
  <c r="J387" i="2"/>
  <c r="N387" i="2" s="1"/>
  <c r="O387" i="2" s="1"/>
  <c r="E387" i="2"/>
  <c r="P386" i="2"/>
  <c r="N386" i="2"/>
  <c r="O386" i="2" s="1"/>
  <c r="M386" i="2"/>
  <c r="L386" i="2"/>
  <c r="J386" i="2"/>
  <c r="F386" i="2"/>
  <c r="P385" i="2"/>
  <c r="U385" i="2" s="1"/>
  <c r="M385" i="2"/>
  <c r="L385" i="2"/>
  <c r="E385" i="2"/>
  <c r="J385" i="2" s="1"/>
  <c r="N385" i="2" s="1"/>
  <c r="O385" i="2" s="1"/>
  <c r="P384" i="2"/>
  <c r="N384" i="2"/>
  <c r="O384" i="2" s="1"/>
  <c r="M384" i="2"/>
  <c r="L384" i="2"/>
  <c r="E384" i="2"/>
  <c r="J384" i="2" s="1"/>
  <c r="P383" i="2"/>
  <c r="M383" i="2"/>
  <c r="L383" i="2"/>
  <c r="J383" i="2"/>
  <c r="N383" i="2" s="1"/>
  <c r="O383" i="2" s="1"/>
  <c r="E383" i="2"/>
  <c r="P382" i="2"/>
  <c r="M382" i="2"/>
  <c r="L382" i="2"/>
  <c r="J382" i="2"/>
  <c r="N382" i="2" s="1"/>
  <c r="O382" i="2" s="1"/>
  <c r="E382" i="2"/>
  <c r="P381" i="2"/>
  <c r="U381" i="2" s="1"/>
  <c r="W381" i="2" s="1"/>
  <c r="M381" i="2"/>
  <c r="L381" i="2"/>
  <c r="F381" i="2"/>
  <c r="J381" i="2" s="1"/>
  <c r="N381" i="2" s="1"/>
  <c r="O381" i="2" s="1"/>
  <c r="P380" i="2"/>
  <c r="M380" i="2"/>
  <c r="L380" i="2"/>
  <c r="E380" i="2"/>
  <c r="J380" i="2" s="1"/>
  <c r="N380" i="2" s="1"/>
  <c r="O380" i="2" s="1"/>
  <c r="P379" i="2"/>
  <c r="Y379" i="2" s="1"/>
  <c r="M379" i="2"/>
  <c r="L379" i="2"/>
  <c r="J379" i="2"/>
  <c r="N379" i="2" s="1"/>
  <c r="O379" i="2" s="1"/>
  <c r="E379" i="2"/>
  <c r="P378" i="2"/>
  <c r="Y378" i="2" s="1"/>
  <c r="M378" i="2"/>
  <c r="L378" i="2"/>
  <c r="J378" i="2"/>
  <c r="N378" i="2" s="1"/>
  <c r="O378" i="2" s="1"/>
  <c r="F378" i="2"/>
  <c r="P377" i="2"/>
  <c r="Y377" i="2" s="1"/>
  <c r="M377" i="2"/>
  <c r="L377" i="2"/>
  <c r="J377" i="2"/>
  <c r="N377" i="2" s="1"/>
  <c r="O377" i="2" s="1"/>
  <c r="E377" i="2"/>
  <c r="P376" i="2"/>
  <c r="U376" i="2" s="1"/>
  <c r="V376" i="2" s="1"/>
  <c r="M376" i="2"/>
  <c r="L376" i="2"/>
  <c r="E376" i="2"/>
  <c r="J376" i="2" s="1"/>
  <c r="N376" i="2" s="1"/>
  <c r="O376" i="2" s="1"/>
  <c r="P375" i="2"/>
  <c r="M375" i="2"/>
  <c r="L375" i="2"/>
  <c r="F375" i="2"/>
  <c r="J375" i="2" s="1"/>
  <c r="N375" i="2" s="1"/>
  <c r="O375" i="2" s="1"/>
  <c r="P374" i="2"/>
  <c r="U374" i="2" s="1"/>
  <c r="V374" i="2" s="1"/>
  <c r="M374" i="2"/>
  <c r="L374" i="2"/>
  <c r="E374" i="2"/>
  <c r="J374" i="2" s="1"/>
  <c r="N374" i="2" s="1"/>
  <c r="O374" i="2" s="1"/>
  <c r="P373" i="2"/>
  <c r="Y373" i="2" s="1"/>
  <c r="M373" i="2"/>
  <c r="L373" i="2"/>
  <c r="F373" i="2"/>
  <c r="J373" i="2" s="1"/>
  <c r="P372" i="2"/>
  <c r="M372" i="2"/>
  <c r="L372" i="2"/>
  <c r="F372" i="2"/>
  <c r="J372" i="2" s="1"/>
  <c r="N372" i="2" s="1"/>
  <c r="O372" i="2" s="1"/>
  <c r="P371" i="2"/>
  <c r="AA371" i="2" s="1"/>
  <c r="M371" i="2"/>
  <c r="L371" i="2"/>
  <c r="J371" i="2"/>
  <c r="N371" i="2" s="1"/>
  <c r="O371" i="2" s="1"/>
  <c r="E371" i="2"/>
  <c r="P370" i="2"/>
  <c r="U370" i="2" s="1"/>
  <c r="M370" i="2"/>
  <c r="L370" i="2"/>
  <c r="E370" i="2"/>
  <c r="J370" i="2" s="1"/>
  <c r="N370" i="2" s="1"/>
  <c r="O370" i="2" s="1"/>
  <c r="P369" i="2"/>
  <c r="X369" i="2" s="1"/>
  <c r="M369" i="2"/>
  <c r="L369" i="2"/>
  <c r="E369" i="2"/>
  <c r="J369" i="2" s="1"/>
  <c r="N369" i="2" s="1"/>
  <c r="O369" i="2" s="1"/>
  <c r="P368" i="2"/>
  <c r="O368" i="2"/>
  <c r="M368" i="2"/>
  <c r="L368" i="2"/>
  <c r="E368" i="2"/>
  <c r="J368" i="2" s="1"/>
  <c r="N368" i="2" s="1"/>
  <c r="P367" i="2"/>
  <c r="U367" i="2" s="1"/>
  <c r="M367" i="2"/>
  <c r="L367" i="2"/>
  <c r="E367" i="2"/>
  <c r="J367" i="2" s="1"/>
  <c r="N367" i="2" s="1"/>
  <c r="O367" i="2" s="1"/>
  <c r="P366" i="2"/>
  <c r="U366" i="2" s="1"/>
  <c r="M366" i="2"/>
  <c r="L366" i="2"/>
  <c r="E366" i="2"/>
  <c r="J366" i="2" s="1"/>
  <c r="N366" i="2" s="1"/>
  <c r="O366" i="2" s="1"/>
  <c r="P365" i="2"/>
  <c r="X365" i="2" s="1"/>
  <c r="M365" i="2"/>
  <c r="L365" i="2"/>
  <c r="E365" i="2"/>
  <c r="J365" i="2" s="1"/>
  <c r="N365" i="2" s="1"/>
  <c r="O365" i="2" s="1"/>
  <c r="P364" i="2"/>
  <c r="O364" i="2"/>
  <c r="M364" i="2"/>
  <c r="L364" i="2"/>
  <c r="E364" i="2"/>
  <c r="J364" i="2" s="1"/>
  <c r="N364" i="2" s="1"/>
  <c r="P363" i="2"/>
  <c r="X363" i="2" s="1"/>
  <c r="M363" i="2"/>
  <c r="L363" i="2"/>
  <c r="E363" i="2"/>
  <c r="J363" i="2" s="1"/>
  <c r="N363" i="2" s="1"/>
  <c r="O363" i="2" s="1"/>
  <c r="P362" i="2"/>
  <c r="U362" i="2" s="1"/>
  <c r="M362" i="2"/>
  <c r="L362" i="2"/>
  <c r="E362" i="2"/>
  <c r="J362" i="2" s="1"/>
  <c r="N362" i="2" s="1"/>
  <c r="O362" i="2" s="1"/>
  <c r="P361" i="2"/>
  <c r="X361" i="2" s="1"/>
  <c r="M361" i="2"/>
  <c r="L361" i="2"/>
  <c r="E361" i="2"/>
  <c r="J361" i="2" s="1"/>
  <c r="N361" i="2" s="1"/>
  <c r="O361" i="2" s="1"/>
  <c r="P360" i="2"/>
  <c r="O360" i="2"/>
  <c r="M360" i="2"/>
  <c r="L360" i="2"/>
  <c r="E360" i="2"/>
  <c r="J360" i="2" s="1"/>
  <c r="N360" i="2" s="1"/>
  <c r="P359" i="2"/>
  <c r="X359" i="2" s="1"/>
  <c r="M359" i="2"/>
  <c r="L359" i="2"/>
  <c r="E359" i="2"/>
  <c r="J359" i="2" s="1"/>
  <c r="N359" i="2" s="1"/>
  <c r="O359" i="2" s="1"/>
  <c r="P358" i="2"/>
  <c r="U358" i="2" s="1"/>
  <c r="M358" i="2"/>
  <c r="L358" i="2"/>
  <c r="E358" i="2"/>
  <c r="J358" i="2" s="1"/>
  <c r="N358" i="2" s="1"/>
  <c r="O358" i="2" s="1"/>
  <c r="P357" i="2"/>
  <c r="X357" i="2" s="1"/>
  <c r="M357" i="2"/>
  <c r="L357" i="2"/>
  <c r="E357" i="2"/>
  <c r="J357" i="2" s="1"/>
  <c r="N357" i="2" s="1"/>
  <c r="O357" i="2" s="1"/>
  <c r="P356" i="2"/>
  <c r="O356" i="2"/>
  <c r="M356" i="2"/>
  <c r="L356" i="2"/>
  <c r="E356" i="2"/>
  <c r="J356" i="2" s="1"/>
  <c r="N356" i="2" s="1"/>
  <c r="P355" i="2"/>
  <c r="X355" i="2" s="1"/>
  <c r="M355" i="2"/>
  <c r="L355" i="2"/>
  <c r="E355" i="2"/>
  <c r="J355" i="2" s="1"/>
  <c r="N355" i="2" s="1"/>
  <c r="O355" i="2" s="1"/>
  <c r="P354" i="2"/>
  <c r="U354" i="2" s="1"/>
  <c r="M354" i="2"/>
  <c r="L354" i="2"/>
  <c r="E354" i="2"/>
  <c r="J354" i="2" s="1"/>
  <c r="N354" i="2" s="1"/>
  <c r="O354" i="2" s="1"/>
  <c r="P353" i="2"/>
  <c r="X353" i="2" s="1"/>
  <c r="M353" i="2"/>
  <c r="L353" i="2"/>
  <c r="E353" i="2"/>
  <c r="J353" i="2" s="1"/>
  <c r="N353" i="2" s="1"/>
  <c r="O353" i="2" s="1"/>
  <c r="P352" i="2"/>
  <c r="O352" i="2"/>
  <c r="M352" i="2"/>
  <c r="L352" i="2"/>
  <c r="E352" i="2"/>
  <c r="J352" i="2" s="1"/>
  <c r="N352" i="2" s="1"/>
  <c r="P351" i="2"/>
  <c r="X351" i="2" s="1"/>
  <c r="M351" i="2"/>
  <c r="L351" i="2"/>
  <c r="E351" i="2"/>
  <c r="J351" i="2" s="1"/>
  <c r="N351" i="2" s="1"/>
  <c r="O351" i="2" s="1"/>
  <c r="P350" i="2"/>
  <c r="X350" i="2" s="1"/>
  <c r="M350" i="2"/>
  <c r="L350" i="2"/>
  <c r="E350" i="2"/>
  <c r="J350" i="2" s="1"/>
  <c r="N350" i="2" s="1"/>
  <c r="O350" i="2" s="1"/>
  <c r="P349" i="2"/>
  <c r="M349" i="2"/>
  <c r="L349" i="2"/>
  <c r="E349" i="2"/>
  <c r="J349" i="2" s="1"/>
  <c r="P348" i="2"/>
  <c r="Y348" i="2" s="1"/>
  <c r="M348" i="2"/>
  <c r="L348" i="2"/>
  <c r="E348" i="2"/>
  <c r="J348" i="2" s="1"/>
  <c r="N348" i="2" s="1"/>
  <c r="O348" i="2" s="1"/>
  <c r="P347" i="2"/>
  <c r="M347" i="2"/>
  <c r="L347" i="2"/>
  <c r="E347" i="2"/>
  <c r="J347" i="2" s="1"/>
  <c r="P346" i="2"/>
  <c r="M346" i="2"/>
  <c r="L346" i="2"/>
  <c r="E346" i="2"/>
  <c r="J346" i="2" s="1"/>
  <c r="N346" i="2" s="1"/>
  <c r="O346" i="2" s="1"/>
  <c r="P345" i="2"/>
  <c r="X345" i="2" s="1"/>
  <c r="M345" i="2"/>
  <c r="L345" i="2"/>
  <c r="E345" i="2"/>
  <c r="J345" i="2" s="1"/>
  <c r="N345" i="2" s="1"/>
  <c r="O345" i="2" s="1"/>
  <c r="P344" i="2"/>
  <c r="O344" i="2"/>
  <c r="M344" i="2"/>
  <c r="L344" i="2"/>
  <c r="E344" i="2"/>
  <c r="J344" i="2" s="1"/>
  <c r="N344" i="2" s="1"/>
  <c r="P343" i="2"/>
  <c r="X343" i="2" s="1"/>
  <c r="M343" i="2"/>
  <c r="L343" i="2"/>
  <c r="E343" i="2"/>
  <c r="J343" i="2" s="1"/>
  <c r="P342" i="2"/>
  <c r="M342" i="2"/>
  <c r="L342" i="2"/>
  <c r="E342" i="2"/>
  <c r="J342" i="2" s="1"/>
  <c r="N342" i="2" s="1"/>
  <c r="O342" i="2" s="1"/>
  <c r="P341" i="2"/>
  <c r="X341" i="2" s="1"/>
  <c r="M341" i="2"/>
  <c r="L341" i="2"/>
  <c r="E341" i="2"/>
  <c r="J341" i="2" s="1"/>
  <c r="N341" i="2" s="1"/>
  <c r="O341" i="2" s="1"/>
  <c r="P340" i="2"/>
  <c r="Y340" i="2" s="1"/>
  <c r="M340" i="2"/>
  <c r="L340" i="2"/>
  <c r="E340" i="2"/>
  <c r="J340" i="2" s="1"/>
  <c r="N340" i="2" s="1"/>
  <c r="O340" i="2" s="1"/>
  <c r="P339" i="2"/>
  <c r="U339" i="2" s="1"/>
  <c r="W339" i="2" s="1"/>
  <c r="M339" i="2"/>
  <c r="L339" i="2"/>
  <c r="E339" i="2"/>
  <c r="J339" i="2" s="1"/>
  <c r="N339" i="2" s="1"/>
  <c r="O339" i="2" s="1"/>
  <c r="P338" i="2"/>
  <c r="Y338" i="2" s="1"/>
  <c r="M338" i="2"/>
  <c r="L338" i="2"/>
  <c r="E338" i="2"/>
  <c r="J338" i="2" s="1"/>
  <c r="N338" i="2" s="1"/>
  <c r="O338" i="2" s="1"/>
  <c r="P337" i="2"/>
  <c r="X337" i="2" s="1"/>
  <c r="M337" i="2"/>
  <c r="L337" i="2"/>
  <c r="E337" i="2"/>
  <c r="J337" i="2" s="1"/>
  <c r="N337" i="2" s="1"/>
  <c r="O337" i="2" s="1"/>
  <c r="P336" i="2"/>
  <c r="Y336" i="2" s="1"/>
  <c r="M336" i="2"/>
  <c r="L336" i="2"/>
  <c r="E336" i="2"/>
  <c r="J336" i="2" s="1"/>
  <c r="N336" i="2" s="1"/>
  <c r="O336" i="2" s="1"/>
  <c r="P335" i="2"/>
  <c r="U335" i="2" s="1"/>
  <c r="W335" i="2" s="1"/>
  <c r="M335" i="2"/>
  <c r="L335" i="2"/>
  <c r="E335" i="2"/>
  <c r="J335" i="2" s="1"/>
  <c r="N335" i="2" s="1"/>
  <c r="O335" i="2" s="1"/>
  <c r="P334" i="2"/>
  <c r="Y334" i="2" s="1"/>
  <c r="M334" i="2"/>
  <c r="L334" i="2"/>
  <c r="E334" i="2"/>
  <c r="J334" i="2" s="1"/>
  <c r="N334" i="2" s="1"/>
  <c r="O334" i="2" s="1"/>
  <c r="P333" i="2"/>
  <c r="X333" i="2" s="1"/>
  <c r="M333" i="2"/>
  <c r="L333" i="2"/>
  <c r="E333" i="2"/>
  <c r="J333" i="2" s="1"/>
  <c r="N333" i="2" s="1"/>
  <c r="O333" i="2" s="1"/>
  <c r="P332" i="2"/>
  <c r="M332" i="2"/>
  <c r="L332" i="2"/>
  <c r="E332" i="2"/>
  <c r="J332" i="2" s="1"/>
  <c r="N332" i="2" s="1"/>
  <c r="O332" i="2" s="1"/>
  <c r="P331" i="2"/>
  <c r="U331" i="2" s="1"/>
  <c r="W331" i="2" s="1"/>
  <c r="M331" i="2"/>
  <c r="L331" i="2"/>
  <c r="E331" i="2"/>
  <c r="J331" i="2" s="1"/>
  <c r="N331" i="2" s="1"/>
  <c r="O331" i="2" s="1"/>
  <c r="AA330" i="2"/>
  <c r="P330" i="2"/>
  <c r="Y330" i="2" s="1"/>
  <c r="M330" i="2"/>
  <c r="L330" i="2"/>
  <c r="F330" i="2"/>
  <c r="J330" i="2" s="1"/>
  <c r="N330" i="2" s="1"/>
  <c r="O330" i="2" s="1"/>
  <c r="P329" i="2"/>
  <c r="X329" i="2" s="1"/>
  <c r="M329" i="2"/>
  <c r="L329" i="2"/>
  <c r="E329" i="2"/>
  <c r="J329" i="2" s="1"/>
  <c r="P328" i="2"/>
  <c r="M328" i="2"/>
  <c r="L328" i="2"/>
  <c r="E328" i="2"/>
  <c r="J328" i="2" s="1"/>
  <c r="P327" i="2"/>
  <c r="X327" i="2" s="1"/>
  <c r="M327" i="2"/>
  <c r="L327" i="2"/>
  <c r="E327" i="2"/>
  <c r="J327" i="2" s="1"/>
  <c r="P326" i="2"/>
  <c r="X326" i="2" s="1"/>
  <c r="M326" i="2"/>
  <c r="L326" i="2"/>
  <c r="E326" i="2"/>
  <c r="J326" i="2" s="1"/>
  <c r="N326" i="2" s="1"/>
  <c r="O326" i="2" s="1"/>
  <c r="P325" i="2"/>
  <c r="X325" i="2" s="1"/>
  <c r="O325" i="2"/>
  <c r="M325" i="2"/>
  <c r="L325" i="2"/>
  <c r="E325" i="2"/>
  <c r="J325" i="2" s="1"/>
  <c r="N325" i="2" s="1"/>
  <c r="P324" i="2"/>
  <c r="M324" i="2"/>
  <c r="L324" i="2"/>
  <c r="E324" i="2"/>
  <c r="J324" i="2" s="1"/>
  <c r="P323" i="2"/>
  <c r="M323" i="2"/>
  <c r="L323" i="2"/>
  <c r="E323" i="2"/>
  <c r="J323" i="2" s="1"/>
  <c r="N323" i="2" s="1"/>
  <c r="O323" i="2" s="1"/>
  <c r="P322" i="2"/>
  <c r="X322" i="2" s="1"/>
  <c r="M322" i="2"/>
  <c r="L322" i="2"/>
  <c r="E322" i="2"/>
  <c r="J322" i="2" s="1"/>
  <c r="N322" i="2" s="1"/>
  <c r="O322" i="2" s="1"/>
  <c r="P321" i="2"/>
  <c r="M321" i="2"/>
  <c r="L321" i="2"/>
  <c r="E321" i="2"/>
  <c r="J321" i="2" s="1"/>
  <c r="P320" i="2"/>
  <c r="Q320" i="2" s="1"/>
  <c r="M320" i="2"/>
  <c r="N320" i="2" s="1"/>
  <c r="O320" i="2" s="1"/>
  <c r="L320" i="2"/>
  <c r="J320" i="2"/>
  <c r="E320" i="2"/>
  <c r="P319" i="2"/>
  <c r="M319" i="2"/>
  <c r="L319" i="2"/>
  <c r="J319" i="2"/>
  <c r="N319" i="2" s="1"/>
  <c r="O319" i="2" s="1"/>
  <c r="E319" i="2"/>
  <c r="P318" i="2"/>
  <c r="Z318" i="2" s="1"/>
  <c r="N318" i="2"/>
  <c r="O318" i="2" s="1"/>
  <c r="M318" i="2"/>
  <c r="L318" i="2"/>
  <c r="J318" i="2"/>
  <c r="E318" i="2"/>
  <c r="P317" i="2"/>
  <c r="U317" i="2" s="1"/>
  <c r="M317" i="2"/>
  <c r="L317" i="2"/>
  <c r="E317" i="2"/>
  <c r="J317" i="2" s="1"/>
  <c r="N317" i="2" s="1"/>
  <c r="O317" i="2" s="1"/>
  <c r="P316" i="2"/>
  <c r="Y316" i="2" s="1"/>
  <c r="M316" i="2"/>
  <c r="N316" i="2" s="1"/>
  <c r="O316" i="2" s="1"/>
  <c r="L316" i="2"/>
  <c r="J316" i="2"/>
  <c r="E316" i="2"/>
  <c r="P315" i="2"/>
  <c r="M315" i="2"/>
  <c r="L315" i="2"/>
  <c r="J315" i="2"/>
  <c r="N315" i="2" s="1"/>
  <c r="O315" i="2" s="1"/>
  <c r="E315" i="2"/>
  <c r="P314" i="2"/>
  <c r="Z314" i="2" s="1"/>
  <c r="M314" i="2"/>
  <c r="L314" i="2"/>
  <c r="E314" i="2"/>
  <c r="J314" i="2" s="1"/>
  <c r="N314" i="2" s="1"/>
  <c r="O314" i="2" s="1"/>
  <c r="P313" i="2"/>
  <c r="Q313" i="2" s="1"/>
  <c r="AA313" i="2" s="1"/>
  <c r="M313" i="2"/>
  <c r="L313" i="2"/>
  <c r="J313" i="2"/>
  <c r="N313" i="2" s="1"/>
  <c r="O313" i="2" s="1"/>
  <c r="E313" i="2"/>
  <c r="P312" i="2"/>
  <c r="Y312" i="2" s="1"/>
  <c r="N312" i="2"/>
  <c r="O312" i="2" s="1"/>
  <c r="M312" i="2"/>
  <c r="L312" i="2"/>
  <c r="J312" i="2"/>
  <c r="E312" i="2"/>
  <c r="P311" i="2"/>
  <c r="M311" i="2"/>
  <c r="L311" i="2"/>
  <c r="J311" i="2"/>
  <c r="N311" i="2" s="1"/>
  <c r="O311" i="2" s="1"/>
  <c r="E311" i="2"/>
  <c r="P310" i="2"/>
  <c r="Z310" i="2" s="1"/>
  <c r="M310" i="2"/>
  <c r="L310" i="2"/>
  <c r="E310" i="2"/>
  <c r="J310" i="2" s="1"/>
  <c r="N310" i="2" s="1"/>
  <c r="O310" i="2" s="1"/>
  <c r="P309" i="2"/>
  <c r="U309" i="2" s="1"/>
  <c r="M309" i="2"/>
  <c r="L309" i="2"/>
  <c r="E309" i="2"/>
  <c r="J309" i="2" s="1"/>
  <c r="N309" i="2" s="1"/>
  <c r="O309" i="2" s="1"/>
  <c r="P308" i="2"/>
  <c r="Y308" i="2" s="1"/>
  <c r="M308" i="2"/>
  <c r="N308" i="2" s="1"/>
  <c r="O308" i="2" s="1"/>
  <c r="L308" i="2"/>
  <c r="J308" i="2"/>
  <c r="E308" i="2"/>
  <c r="P307" i="2"/>
  <c r="M307" i="2"/>
  <c r="L307" i="2"/>
  <c r="J307" i="2"/>
  <c r="N307" i="2" s="1"/>
  <c r="O307" i="2" s="1"/>
  <c r="E307" i="2"/>
  <c r="P306" i="2"/>
  <c r="Z306" i="2" s="1"/>
  <c r="M306" i="2"/>
  <c r="L306" i="2"/>
  <c r="E306" i="2"/>
  <c r="J306" i="2" s="1"/>
  <c r="N306" i="2" s="1"/>
  <c r="O306" i="2" s="1"/>
  <c r="P305" i="2"/>
  <c r="U305" i="2" s="1"/>
  <c r="M305" i="2"/>
  <c r="L305" i="2"/>
  <c r="J305" i="2"/>
  <c r="N305" i="2" s="1"/>
  <c r="O305" i="2" s="1"/>
  <c r="F305" i="2"/>
  <c r="P304" i="2"/>
  <c r="Y304" i="2" s="1"/>
  <c r="M304" i="2"/>
  <c r="N304" i="2" s="1"/>
  <c r="O304" i="2" s="1"/>
  <c r="L304" i="2"/>
  <c r="J304" i="2"/>
  <c r="F304" i="2"/>
  <c r="P303" i="2"/>
  <c r="M303" i="2"/>
  <c r="L303" i="2"/>
  <c r="J303" i="2"/>
  <c r="N303" i="2" s="1"/>
  <c r="O303" i="2" s="1"/>
  <c r="E303" i="2"/>
  <c r="P302" i="2"/>
  <c r="Z302" i="2" s="1"/>
  <c r="M302" i="2"/>
  <c r="L302" i="2"/>
  <c r="E302" i="2"/>
  <c r="J302" i="2" s="1"/>
  <c r="N302" i="2" s="1"/>
  <c r="O302" i="2" s="1"/>
  <c r="P301" i="2"/>
  <c r="U301" i="2" s="1"/>
  <c r="M301" i="2"/>
  <c r="L301" i="2"/>
  <c r="J301" i="2"/>
  <c r="N301" i="2" s="1"/>
  <c r="O301" i="2" s="1"/>
  <c r="E301" i="2"/>
  <c r="P300" i="2"/>
  <c r="Y300" i="2" s="1"/>
  <c r="M300" i="2"/>
  <c r="N300" i="2" s="1"/>
  <c r="O300" i="2" s="1"/>
  <c r="L300" i="2"/>
  <c r="J300" i="2"/>
  <c r="E300" i="2"/>
  <c r="P299" i="2"/>
  <c r="M299" i="2"/>
  <c r="L299" i="2"/>
  <c r="J299" i="2"/>
  <c r="N299" i="2" s="1"/>
  <c r="O299" i="2" s="1"/>
  <c r="E299" i="2"/>
  <c r="AA298" i="2"/>
  <c r="P298" i="2"/>
  <c r="Z298" i="2" s="1"/>
  <c r="M298" i="2"/>
  <c r="L298" i="2"/>
  <c r="F298" i="2"/>
  <c r="J298" i="2" s="1"/>
  <c r="N298" i="2" s="1"/>
  <c r="O298" i="2" s="1"/>
  <c r="AA297" i="2"/>
  <c r="P297" i="2"/>
  <c r="U297" i="2" s="1"/>
  <c r="M297" i="2"/>
  <c r="L297" i="2"/>
  <c r="E297" i="2"/>
  <c r="J297" i="2" s="1"/>
  <c r="N297" i="2" s="1"/>
  <c r="O297" i="2" s="1"/>
  <c r="AA296" i="2"/>
  <c r="P296" i="2"/>
  <c r="Y296" i="2" s="1"/>
  <c r="M296" i="2"/>
  <c r="N296" i="2" s="1"/>
  <c r="O296" i="2" s="1"/>
  <c r="L296" i="2"/>
  <c r="J296" i="2"/>
  <c r="F296" i="2"/>
  <c r="AA295" i="2"/>
  <c r="P295" i="2"/>
  <c r="Q295" i="2" s="1"/>
  <c r="M295" i="2"/>
  <c r="L295" i="2"/>
  <c r="J295" i="2"/>
  <c r="N295" i="2" s="1"/>
  <c r="O295" i="2" s="1"/>
  <c r="E295" i="2"/>
  <c r="P294" i="2"/>
  <c r="Y294" i="2" s="1"/>
  <c r="M294" i="2"/>
  <c r="L294" i="2"/>
  <c r="E294" i="2"/>
  <c r="J294" i="2" s="1"/>
  <c r="N294" i="2" s="1"/>
  <c r="O294" i="2" s="1"/>
  <c r="P293" i="2"/>
  <c r="U293" i="2" s="1"/>
  <c r="M293" i="2"/>
  <c r="L293" i="2"/>
  <c r="J293" i="2"/>
  <c r="N293" i="2" s="1"/>
  <c r="O293" i="2" s="1"/>
  <c r="E293" i="2"/>
  <c r="P292" i="2"/>
  <c r="Y292" i="2" s="1"/>
  <c r="M292" i="2"/>
  <c r="N292" i="2" s="1"/>
  <c r="O292" i="2" s="1"/>
  <c r="L292" i="2"/>
  <c r="J292" i="2"/>
  <c r="E292" i="2"/>
  <c r="P291" i="2"/>
  <c r="M291" i="2"/>
  <c r="L291" i="2"/>
  <c r="J291" i="2"/>
  <c r="N291" i="2" s="1"/>
  <c r="O291" i="2" s="1"/>
  <c r="E291" i="2"/>
  <c r="P290" i="2"/>
  <c r="Y290" i="2" s="1"/>
  <c r="M290" i="2"/>
  <c r="L290" i="2"/>
  <c r="F290" i="2"/>
  <c r="J290" i="2" s="1"/>
  <c r="N290" i="2" s="1"/>
  <c r="O290" i="2" s="1"/>
  <c r="P289" i="2"/>
  <c r="U289" i="2" s="1"/>
  <c r="M289" i="2"/>
  <c r="L289" i="2"/>
  <c r="J289" i="2"/>
  <c r="N289" i="2" s="1"/>
  <c r="O289" i="2" s="1"/>
  <c r="E289" i="2"/>
  <c r="P288" i="2"/>
  <c r="Y288" i="2" s="1"/>
  <c r="N288" i="2"/>
  <c r="O288" i="2" s="1"/>
  <c r="M288" i="2"/>
  <c r="L288" i="2"/>
  <c r="J288" i="2"/>
  <c r="E288" i="2"/>
  <c r="P287" i="2"/>
  <c r="Q287" i="2" s="1"/>
  <c r="M287" i="2"/>
  <c r="L287" i="2"/>
  <c r="J287" i="2"/>
  <c r="N287" i="2" s="1"/>
  <c r="O287" i="2" s="1"/>
  <c r="E287" i="2"/>
  <c r="P286" i="2"/>
  <c r="M286" i="2"/>
  <c r="L286" i="2"/>
  <c r="E286" i="2"/>
  <c r="J286" i="2" s="1"/>
  <c r="N286" i="2" s="1"/>
  <c r="O286" i="2" s="1"/>
  <c r="P285" i="2"/>
  <c r="U285" i="2" s="1"/>
  <c r="M285" i="2"/>
  <c r="L285" i="2"/>
  <c r="E285" i="2"/>
  <c r="J285" i="2" s="1"/>
  <c r="N285" i="2" s="1"/>
  <c r="O285" i="2" s="1"/>
  <c r="P284" i="2"/>
  <c r="Y284" i="2" s="1"/>
  <c r="M284" i="2"/>
  <c r="N284" i="2" s="1"/>
  <c r="O284" i="2" s="1"/>
  <c r="L284" i="2"/>
  <c r="J284" i="2"/>
  <c r="E284" i="2"/>
  <c r="P283" i="2"/>
  <c r="Q283" i="2" s="1"/>
  <c r="M283" i="2"/>
  <c r="L283" i="2"/>
  <c r="J283" i="2"/>
  <c r="N283" i="2" s="1"/>
  <c r="O283" i="2" s="1"/>
  <c r="E283" i="2"/>
  <c r="P282" i="2"/>
  <c r="M282" i="2"/>
  <c r="L282" i="2"/>
  <c r="E282" i="2"/>
  <c r="J282" i="2" s="1"/>
  <c r="N282" i="2" s="1"/>
  <c r="O282" i="2" s="1"/>
  <c r="P281" i="2"/>
  <c r="U281" i="2" s="1"/>
  <c r="M281" i="2"/>
  <c r="L281" i="2"/>
  <c r="J281" i="2"/>
  <c r="N281" i="2" s="1"/>
  <c r="O281" i="2" s="1"/>
  <c r="E281" i="2"/>
  <c r="P280" i="2"/>
  <c r="Y280" i="2" s="1"/>
  <c r="N280" i="2"/>
  <c r="O280" i="2" s="1"/>
  <c r="M280" i="2"/>
  <c r="L280" i="2"/>
  <c r="J280" i="2"/>
  <c r="E280" i="2"/>
  <c r="P279" i="2"/>
  <c r="Z279" i="2" s="1"/>
  <c r="M279" i="2"/>
  <c r="L279" i="2"/>
  <c r="J279" i="2"/>
  <c r="N279" i="2" s="1"/>
  <c r="O279" i="2" s="1"/>
  <c r="E279" i="2"/>
  <c r="P278" i="2"/>
  <c r="M278" i="2"/>
  <c r="L278" i="2"/>
  <c r="E278" i="2"/>
  <c r="J278" i="2" s="1"/>
  <c r="N278" i="2" s="1"/>
  <c r="O278" i="2" s="1"/>
  <c r="P277" i="2"/>
  <c r="M277" i="2"/>
  <c r="L277" i="2"/>
  <c r="J277" i="2"/>
  <c r="N277" i="2" s="1"/>
  <c r="O277" i="2" s="1"/>
  <c r="E277" i="2"/>
  <c r="P276" i="2"/>
  <c r="Y276" i="2" s="1"/>
  <c r="M276" i="2"/>
  <c r="N276" i="2" s="1"/>
  <c r="O276" i="2" s="1"/>
  <c r="L276" i="2"/>
  <c r="J276" i="2"/>
  <c r="F276" i="2"/>
  <c r="P275" i="2"/>
  <c r="Z275" i="2" s="1"/>
  <c r="M275" i="2"/>
  <c r="L275" i="2"/>
  <c r="J275" i="2"/>
  <c r="N275" i="2" s="1"/>
  <c r="O275" i="2" s="1"/>
  <c r="E275" i="2"/>
  <c r="P274" i="2"/>
  <c r="Q274" i="2" s="1"/>
  <c r="M274" i="2"/>
  <c r="L274" i="2"/>
  <c r="E274" i="2"/>
  <c r="J274" i="2" s="1"/>
  <c r="N274" i="2" s="1"/>
  <c r="O274" i="2" s="1"/>
  <c r="P273" i="2"/>
  <c r="M273" i="2"/>
  <c r="L273" i="2"/>
  <c r="E273" i="2"/>
  <c r="J273" i="2" s="1"/>
  <c r="N273" i="2" s="1"/>
  <c r="O273" i="2" s="1"/>
  <c r="P272" i="2"/>
  <c r="Y272" i="2" s="1"/>
  <c r="M272" i="2"/>
  <c r="N272" i="2" s="1"/>
  <c r="O272" i="2" s="1"/>
  <c r="L272" i="2"/>
  <c r="J272" i="2"/>
  <c r="E272" i="2"/>
  <c r="P271" i="2"/>
  <c r="M271" i="2"/>
  <c r="L271" i="2"/>
  <c r="J271" i="2"/>
  <c r="N271" i="2" s="1"/>
  <c r="O271" i="2" s="1"/>
  <c r="E271" i="2"/>
  <c r="P270" i="2"/>
  <c r="M270" i="2"/>
  <c r="L270" i="2"/>
  <c r="E270" i="2"/>
  <c r="J270" i="2" s="1"/>
  <c r="N270" i="2" s="1"/>
  <c r="O270" i="2" s="1"/>
  <c r="P269" i="2"/>
  <c r="M269" i="2"/>
  <c r="L269" i="2"/>
  <c r="J269" i="2"/>
  <c r="N269" i="2" s="1"/>
  <c r="O269" i="2" s="1"/>
  <c r="E269" i="2"/>
  <c r="P268" i="2"/>
  <c r="Y268" i="2" s="1"/>
  <c r="M268" i="2"/>
  <c r="N268" i="2" s="1"/>
  <c r="O268" i="2" s="1"/>
  <c r="L268" i="2"/>
  <c r="J268" i="2"/>
  <c r="E268" i="2"/>
  <c r="P267" i="2"/>
  <c r="Z267" i="2" s="1"/>
  <c r="M267" i="2"/>
  <c r="L267" i="2"/>
  <c r="J267" i="2"/>
  <c r="N267" i="2" s="1"/>
  <c r="O267" i="2" s="1"/>
  <c r="E267" i="2"/>
  <c r="P266" i="2"/>
  <c r="AA266" i="2" s="1"/>
  <c r="N266" i="2"/>
  <c r="O266" i="2" s="1"/>
  <c r="M266" i="2"/>
  <c r="L266" i="2"/>
  <c r="E266" i="2"/>
  <c r="J266" i="2" s="1"/>
  <c r="P265" i="2"/>
  <c r="U265" i="2" s="1"/>
  <c r="M265" i="2"/>
  <c r="L265" i="2"/>
  <c r="E265" i="2"/>
  <c r="J265" i="2" s="1"/>
  <c r="N265" i="2" s="1"/>
  <c r="O265" i="2" s="1"/>
  <c r="P264" i="2"/>
  <c r="Y264" i="2" s="1"/>
  <c r="N264" i="2"/>
  <c r="O264" i="2" s="1"/>
  <c r="M264" i="2"/>
  <c r="L264" i="2"/>
  <c r="E264" i="2"/>
  <c r="J264" i="2" s="1"/>
  <c r="P263" i="2"/>
  <c r="Z263" i="2" s="1"/>
  <c r="M263" i="2"/>
  <c r="L263" i="2"/>
  <c r="J263" i="2"/>
  <c r="N263" i="2" s="1"/>
  <c r="O263" i="2" s="1"/>
  <c r="E263" i="2"/>
  <c r="P262" i="2"/>
  <c r="Y262" i="2" s="1"/>
  <c r="N262" i="2"/>
  <c r="O262" i="2" s="1"/>
  <c r="M262" i="2"/>
  <c r="L262" i="2"/>
  <c r="E262" i="2"/>
  <c r="J262" i="2" s="1"/>
  <c r="P261" i="2"/>
  <c r="U261" i="2" s="1"/>
  <c r="M261" i="2"/>
  <c r="L261" i="2"/>
  <c r="E261" i="2"/>
  <c r="J261" i="2" s="1"/>
  <c r="N261" i="2" s="1"/>
  <c r="O261" i="2" s="1"/>
  <c r="P260" i="2"/>
  <c r="M260" i="2"/>
  <c r="L260" i="2"/>
  <c r="E260" i="2"/>
  <c r="J260" i="2" s="1"/>
  <c r="N260" i="2" s="1"/>
  <c r="O260" i="2" s="1"/>
  <c r="P259" i="2"/>
  <c r="M259" i="2"/>
  <c r="L259" i="2"/>
  <c r="J259" i="2"/>
  <c r="N259" i="2" s="1"/>
  <c r="O259" i="2" s="1"/>
  <c r="E259" i="2"/>
  <c r="P258" i="2"/>
  <c r="Y258" i="2" s="1"/>
  <c r="M258" i="2"/>
  <c r="L258" i="2"/>
  <c r="E258" i="2"/>
  <c r="J258" i="2" s="1"/>
  <c r="N258" i="2" s="1"/>
  <c r="O258" i="2" s="1"/>
  <c r="P257" i="2"/>
  <c r="M257" i="2"/>
  <c r="L257" i="2"/>
  <c r="E257" i="2"/>
  <c r="J257" i="2" s="1"/>
  <c r="N257" i="2" s="1"/>
  <c r="O257" i="2" s="1"/>
  <c r="P256" i="2"/>
  <c r="M256" i="2"/>
  <c r="N256" i="2" s="1"/>
  <c r="O256" i="2" s="1"/>
  <c r="L256" i="2"/>
  <c r="E256" i="2"/>
  <c r="J256" i="2" s="1"/>
  <c r="P255" i="2"/>
  <c r="M255" i="2"/>
  <c r="L255" i="2"/>
  <c r="J255" i="2"/>
  <c r="N255" i="2" s="1"/>
  <c r="O255" i="2" s="1"/>
  <c r="E255" i="2"/>
  <c r="P254" i="2"/>
  <c r="Y254" i="2" s="1"/>
  <c r="N254" i="2"/>
  <c r="O254" i="2" s="1"/>
  <c r="M254" i="2"/>
  <c r="L254" i="2"/>
  <c r="E254" i="2"/>
  <c r="J254" i="2" s="1"/>
  <c r="P253" i="2"/>
  <c r="Y253" i="2" s="1"/>
  <c r="M253" i="2"/>
  <c r="L253" i="2"/>
  <c r="E253" i="2"/>
  <c r="J253" i="2" s="1"/>
  <c r="N253" i="2" s="1"/>
  <c r="O253" i="2" s="1"/>
  <c r="P252" i="2"/>
  <c r="M252" i="2"/>
  <c r="L252" i="2"/>
  <c r="E252" i="2"/>
  <c r="J252" i="2" s="1"/>
  <c r="N252" i="2" s="1"/>
  <c r="O252" i="2" s="1"/>
  <c r="P251" i="2"/>
  <c r="Z251" i="2" s="1"/>
  <c r="M251" i="2"/>
  <c r="L251" i="2"/>
  <c r="J251" i="2"/>
  <c r="N251" i="2" s="1"/>
  <c r="O251" i="2" s="1"/>
  <c r="E251" i="2"/>
  <c r="P250" i="2"/>
  <c r="Y250" i="2" s="1"/>
  <c r="N250" i="2"/>
  <c r="O250" i="2" s="1"/>
  <c r="M250" i="2"/>
  <c r="L250" i="2"/>
  <c r="E250" i="2"/>
  <c r="J250" i="2" s="1"/>
  <c r="P249" i="2"/>
  <c r="Q249" i="2" s="1"/>
  <c r="M249" i="2"/>
  <c r="L249" i="2"/>
  <c r="E249" i="2"/>
  <c r="J249" i="2" s="1"/>
  <c r="N249" i="2" s="1"/>
  <c r="O249" i="2" s="1"/>
  <c r="P248" i="2"/>
  <c r="M248" i="2"/>
  <c r="N248" i="2" s="1"/>
  <c r="O248" i="2" s="1"/>
  <c r="L248" i="2"/>
  <c r="E248" i="2"/>
  <c r="J248" i="2" s="1"/>
  <c r="P247" i="2"/>
  <c r="Z247" i="2" s="1"/>
  <c r="M247" i="2"/>
  <c r="L247" i="2"/>
  <c r="J247" i="2"/>
  <c r="N247" i="2" s="1"/>
  <c r="O247" i="2" s="1"/>
  <c r="E247" i="2"/>
  <c r="P246" i="2"/>
  <c r="Y246" i="2" s="1"/>
  <c r="N246" i="2"/>
  <c r="O246" i="2" s="1"/>
  <c r="M246" i="2"/>
  <c r="L246" i="2"/>
  <c r="F246" i="2"/>
  <c r="J246" i="2" s="1"/>
  <c r="P245" i="2"/>
  <c r="M245" i="2"/>
  <c r="L245" i="2"/>
  <c r="E245" i="2"/>
  <c r="J245" i="2" s="1"/>
  <c r="N245" i="2" s="1"/>
  <c r="O245" i="2" s="1"/>
  <c r="P244" i="2"/>
  <c r="M244" i="2"/>
  <c r="L244" i="2"/>
  <c r="E244" i="2"/>
  <c r="J244" i="2" s="1"/>
  <c r="N244" i="2" s="1"/>
  <c r="O244" i="2" s="1"/>
  <c r="P243" i="2"/>
  <c r="M243" i="2"/>
  <c r="L243" i="2"/>
  <c r="J243" i="2"/>
  <c r="N243" i="2" s="1"/>
  <c r="O243" i="2" s="1"/>
  <c r="E243" i="2"/>
  <c r="P242" i="2"/>
  <c r="Y242" i="2" s="1"/>
  <c r="N242" i="2"/>
  <c r="O242" i="2" s="1"/>
  <c r="M242" i="2"/>
  <c r="L242" i="2"/>
  <c r="E242" i="2"/>
  <c r="J242" i="2" s="1"/>
  <c r="P241" i="2"/>
  <c r="Z241" i="2" s="1"/>
  <c r="M241" i="2"/>
  <c r="L241" i="2"/>
  <c r="E241" i="2"/>
  <c r="J241" i="2" s="1"/>
  <c r="N241" i="2" s="1"/>
  <c r="O241" i="2" s="1"/>
  <c r="P240" i="2"/>
  <c r="N240" i="2"/>
  <c r="O240" i="2" s="1"/>
  <c r="M240" i="2"/>
  <c r="L240" i="2"/>
  <c r="E240" i="2"/>
  <c r="J240" i="2" s="1"/>
  <c r="P239" i="2"/>
  <c r="M239" i="2"/>
  <c r="L239" i="2"/>
  <c r="E239" i="2"/>
  <c r="J239" i="2" s="1"/>
  <c r="N239" i="2" s="1"/>
  <c r="O239" i="2" s="1"/>
  <c r="P238" i="2"/>
  <c r="U238" i="2" s="1"/>
  <c r="W238" i="2" s="1"/>
  <c r="M238" i="2"/>
  <c r="L238" i="2"/>
  <c r="E238" i="2"/>
  <c r="J238" i="2" s="1"/>
  <c r="N238" i="2" s="1"/>
  <c r="O238" i="2" s="1"/>
  <c r="P237" i="2"/>
  <c r="U237" i="2" s="1"/>
  <c r="M237" i="2"/>
  <c r="L237" i="2"/>
  <c r="E237" i="2"/>
  <c r="J237" i="2" s="1"/>
  <c r="N237" i="2" s="1"/>
  <c r="O237" i="2" s="1"/>
  <c r="P236" i="2"/>
  <c r="U236" i="2" s="1"/>
  <c r="M236" i="2"/>
  <c r="L236" i="2"/>
  <c r="E236" i="2"/>
  <c r="J236" i="2" s="1"/>
  <c r="N236" i="2" s="1"/>
  <c r="O236" i="2" s="1"/>
  <c r="P235" i="2"/>
  <c r="U235" i="2" s="1"/>
  <c r="M235" i="2"/>
  <c r="L235" i="2"/>
  <c r="E235" i="2"/>
  <c r="J235" i="2" s="1"/>
  <c r="N235" i="2" s="1"/>
  <c r="O235" i="2" s="1"/>
  <c r="P234" i="2"/>
  <c r="X234" i="2" s="1"/>
  <c r="M234" i="2"/>
  <c r="L234" i="2"/>
  <c r="E234" i="2"/>
  <c r="J234" i="2" s="1"/>
  <c r="N234" i="2" s="1"/>
  <c r="O234" i="2" s="1"/>
  <c r="P233" i="2"/>
  <c r="U233" i="2" s="1"/>
  <c r="M233" i="2"/>
  <c r="L233" i="2"/>
  <c r="E233" i="2"/>
  <c r="J233" i="2" s="1"/>
  <c r="N233" i="2" s="1"/>
  <c r="O233" i="2" s="1"/>
  <c r="P232" i="2"/>
  <c r="X232" i="2" s="1"/>
  <c r="M232" i="2"/>
  <c r="L232" i="2"/>
  <c r="E232" i="2"/>
  <c r="J232" i="2" s="1"/>
  <c r="N232" i="2" s="1"/>
  <c r="O232" i="2" s="1"/>
  <c r="AA231" i="2"/>
  <c r="P231" i="2"/>
  <c r="U231" i="2" s="1"/>
  <c r="M231" i="2"/>
  <c r="L231" i="2"/>
  <c r="E231" i="2"/>
  <c r="J231" i="2" s="1"/>
  <c r="N231" i="2" s="1"/>
  <c r="O231" i="2" s="1"/>
  <c r="AA230" i="2"/>
  <c r="P230" i="2"/>
  <c r="M230" i="2"/>
  <c r="L230" i="2"/>
  <c r="E230" i="2"/>
  <c r="J230" i="2" s="1"/>
  <c r="N230" i="2" s="1"/>
  <c r="O230" i="2" s="1"/>
  <c r="AA229" i="2"/>
  <c r="P229" i="2"/>
  <c r="M229" i="2"/>
  <c r="L229" i="2"/>
  <c r="F229" i="2"/>
  <c r="J229" i="2" s="1"/>
  <c r="N229" i="2" s="1"/>
  <c r="O229" i="2" s="1"/>
  <c r="P228" i="2"/>
  <c r="X228" i="2" s="1"/>
  <c r="M228" i="2"/>
  <c r="L228" i="2"/>
  <c r="F228" i="2"/>
  <c r="J228" i="2" s="1"/>
  <c r="N228" i="2" s="1"/>
  <c r="O228" i="2" s="1"/>
  <c r="P227" i="2"/>
  <c r="U227" i="2" s="1"/>
  <c r="M227" i="2"/>
  <c r="L227" i="2"/>
  <c r="E227" i="2"/>
  <c r="J227" i="2" s="1"/>
  <c r="P226" i="2"/>
  <c r="M226" i="2"/>
  <c r="L226" i="2"/>
  <c r="E226" i="2"/>
  <c r="J226" i="2" s="1"/>
  <c r="N226" i="2" s="1"/>
  <c r="O226" i="2" s="1"/>
  <c r="P225" i="2"/>
  <c r="M225" i="2"/>
  <c r="L225" i="2"/>
  <c r="E225" i="2"/>
  <c r="J225" i="2" s="1"/>
  <c r="N225" i="2" s="1"/>
  <c r="O225" i="2" s="1"/>
  <c r="P224" i="2"/>
  <c r="Y224" i="2" s="1"/>
  <c r="M224" i="2"/>
  <c r="L224" i="2"/>
  <c r="E224" i="2"/>
  <c r="J224" i="2" s="1"/>
  <c r="N224" i="2" s="1"/>
  <c r="O224" i="2" s="1"/>
  <c r="P223" i="2"/>
  <c r="U223" i="2" s="1"/>
  <c r="M223" i="2"/>
  <c r="L223" i="2"/>
  <c r="F223" i="2"/>
  <c r="J223" i="2" s="1"/>
  <c r="N223" i="2" s="1"/>
  <c r="O223" i="2" s="1"/>
  <c r="P222" i="2"/>
  <c r="M222" i="2"/>
  <c r="L222" i="2"/>
  <c r="E222" i="2"/>
  <c r="J222" i="2" s="1"/>
  <c r="N222" i="2" s="1"/>
  <c r="O222" i="2" s="1"/>
  <c r="P221" i="2"/>
  <c r="M221" i="2"/>
  <c r="L221" i="2"/>
  <c r="E221" i="2"/>
  <c r="J221" i="2" s="1"/>
  <c r="N221" i="2" s="1"/>
  <c r="O221" i="2" s="1"/>
  <c r="P220" i="2"/>
  <c r="Y220" i="2" s="1"/>
  <c r="M220" i="2"/>
  <c r="L220" i="2"/>
  <c r="F220" i="2"/>
  <c r="J220" i="2" s="1"/>
  <c r="N220" i="2" s="1"/>
  <c r="O220" i="2" s="1"/>
  <c r="P219" i="2"/>
  <c r="U219" i="2" s="1"/>
  <c r="M219" i="2"/>
  <c r="L219" i="2"/>
  <c r="E219" i="2"/>
  <c r="J219" i="2" s="1"/>
  <c r="P218" i="2"/>
  <c r="M218" i="2"/>
  <c r="L218" i="2"/>
  <c r="E218" i="2"/>
  <c r="J218" i="2" s="1"/>
  <c r="P217" i="2"/>
  <c r="M217" i="2"/>
  <c r="L217" i="2"/>
  <c r="E217" i="2"/>
  <c r="J217" i="2" s="1"/>
  <c r="N217" i="2" s="1"/>
  <c r="O217" i="2" s="1"/>
  <c r="P216" i="2"/>
  <c r="X216" i="2" s="1"/>
  <c r="M216" i="2"/>
  <c r="L216" i="2"/>
  <c r="E216" i="2"/>
  <c r="J216" i="2" s="1"/>
  <c r="N216" i="2" s="1"/>
  <c r="O216" i="2" s="1"/>
  <c r="P215" i="2"/>
  <c r="U215" i="2" s="1"/>
  <c r="M215" i="2"/>
  <c r="L215" i="2"/>
  <c r="E215" i="2"/>
  <c r="J215" i="2" s="1"/>
  <c r="P214" i="2"/>
  <c r="AA214" i="2" s="1"/>
  <c r="M214" i="2"/>
  <c r="L214" i="2"/>
  <c r="E214" i="2"/>
  <c r="J214" i="2" s="1"/>
  <c r="N214" i="2" s="1"/>
  <c r="O214" i="2" s="1"/>
  <c r="P213" i="2"/>
  <c r="M213" i="2"/>
  <c r="L213" i="2"/>
  <c r="E213" i="2"/>
  <c r="J213" i="2" s="1"/>
  <c r="N213" i="2" s="1"/>
  <c r="O213" i="2" s="1"/>
  <c r="P212" i="2"/>
  <c r="Y212" i="2" s="1"/>
  <c r="M212" i="2"/>
  <c r="L212" i="2"/>
  <c r="E212" i="2"/>
  <c r="J212" i="2" s="1"/>
  <c r="N212" i="2" s="1"/>
  <c r="O212" i="2" s="1"/>
  <c r="P211" i="2"/>
  <c r="M211" i="2"/>
  <c r="L211" i="2"/>
  <c r="E211" i="2"/>
  <c r="J211" i="2" s="1"/>
  <c r="N211" i="2" s="1"/>
  <c r="O211" i="2" s="1"/>
  <c r="P210" i="2"/>
  <c r="M210" i="2"/>
  <c r="L210" i="2"/>
  <c r="E210" i="2"/>
  <c r="J210" i="2" s="1"/>
  <c r="N210" i="2" s="1"/>
  <c r="O210" i="2" s="1"/>
  <c r="P209" i="2"/>
  <c r="M209" i="2"/>
  <c r="L209" i="2"/>
  <c r="E209" i="2"/>
  <c r="J209" i="2" s="1"/>
  <c r="N209" i="2" s="1"/>
  <c r="O209" i="2" s="1"/>
  <c r="P208" i="2"/>
  <c r="Y208" i="2" s="1"/>
  <c r="M208" i="2"/>
  <c r="L208" i="2"/>
  <c r="E208" i="2"/>
  <c r="J208" i="2" s="1"/>
  <c r="N208" i="2" s="1"/>
  <c r="O208" i="2" s="1"/>
  <c r="P207" i="2"/>
  <c r="M207" i="2"/>
  <c r="L207" i="2"/>
  <c r="E207" i="2"/>
  <c r="J207" i="2" s="1"/>
  <c r="P206" i="2"/>
  <c r="M206" i="2"/>
  <c r="L206" i="2"/>
  <c r="E206" i="2"/>
  <c r="J206" i="2" s="1"/>
  <c r="P205" i="2"/>
  <c r="M205" i="2"/>
  <c r="L205" i="2"/>
  <c r="E205" i="2"/>
  <c r="J205" i="2" s="1"/>
  <c r="N205" i="2" s="1"/>
  <c r="O205" i="2" s="1"/>
  <c r="P204" i="2"/>
  <c r="Y204" i="2" s="1"/>
  <c r="M204" i="2"/>
  <c r="L204" i="2"/>
  <c r="E204" i="2"/>
  <c r="J204" i="2" s="1"/>
  <c r="N204" i="2" s="1"/>
  <c r="O204" i="2" s="1"/>
  <c r="P203" i="2"/>
  <c r="U203" i="2" s="1"/>
  <c r="M203" i="2"/>
  <c r="L203" i="2"/>
  <c r="E203" i="2"/>
  <c r="J203" i="2" s="1"/>
  <c r="P202" i="2"/>
  <c r="M202" i="2"/>
  <c r="L202" i="2"/>
  <c r="E202" i="2"/>
  <c r="J202" i="2" s="1"/>
  <c r="N202" i="2" s="1"/>
  <c r="O202" i="2" s="1"/>
  <c r="AA201" i="2"/>
  <c r="P201" i="2"/>
  <c r="O201" i="2"/>
  <c r="M201" i="2"/>
  <c r="L201" i="2"/>
  <c r="E201" i="2"/>
  <c r="J201" i="2" s="1"/>
  <c r="N201" i="2" s="1"/>
  <c r="AA200" i="2"/>
  <c r="P200" i="2"/>
  <c r="Z200" i="2" s="1"/>
  <c r="M200" i="2"/>
  <c r="L200" i="2"/>
  <c r="E200" i="2"/>
  <c r="J200" i="2" s="1"/>
  <c r="N200" i="2" s="1"/>
  <c r="O200" i="2" s="1"/>
  <c r="P199" i="2"/>
  <c r="U199" i="2" s="1"/>
  <c r="M199" i="2"/>
  <c r="L199" i="2"/>
  <c r="E199" i="2"/>
  <c r="J199" i="2" s="1"/>
  <c r="N199" i="2" s="1"/>
  <c r="O199" i="2" s="1"/>
  <c r="P198" i="2"/>
  <c r="M198" i="2"/>
  <c r="L198" i="2"/>
  <c r="E198" i="2"/>
  <c r="J198" i="2" s="1"/>
  <c r="N198" i="2" s="1"/>
  <c r="O198" i="2" s="1"/>
  <c r="AA197" i="2"/>
  <c r="P197" i="2"/>
  <c r="M197" i="2"/>
  <c r="L197" i="2"/>
  <c r="E197" i="2"/>
  <c r="J197" i="2" s="1"/>
  <c r="N197" i="2" s="1"/>
  <c r="O197" i="2" s="1"/>
  <c r="P196" i="2"/>
  <c r="Y196" i="2" s="1"/>
  <c r="M196" i="2"/>
  <c r="L196" i="2"/>
  <c r="E196" i="2"/>
  <c r="J196" i="2" s="1"/>
  <c r="N196" i="2" s="1"/>
  <c r="O196" i="2" s="1"/>
  <c r="P195" i="2"/>
  <c r="X195" i="2" s="1"/>
  <c r="M195" i="2"/>
  <c r="L195" i="2"/>
  <c r="E195" i="2"/>
  <c r="J195" i="2" s="1"/>
  <c r="N195" i="2" s="1"/>
  <c r="O195" i="2" s="1"/>
  <c r="P194" i="2"/>
  <c r="M194" i="2"/>
  <c r="L194" i="2"/>
  <c r="E194" i="2"/>
  <c r="J194" i="2" s="1"/>
  <c r="P193" i="2"/>
  <c r="Y193" i="2" s="1"/>
  <c r="O193" i="2"/>
  <c r="M193" i="2"/>
  <c r="L193" i="2"/>
  <c r="E193" i="2"/>
  <c r="J193" i="2" s="1"/>
  <c r="N193" i="2" s="1"/>
  <c r="P192" i="2"/>
  <c r="U192" i="2" s="1"/>
  <c r="M192" i="2"/>
  <c r="L192" i="2"/>
  <c r="F192" i="2"/>
  <c r="J192" i="2" s="1"/>
  <c r="P191" i="2"/>
  <c r="M191" i="2"/>
  <c r="L191" i="2"/>
  <c r="E191" i="2"/>
  <c r="J191" i="2" s="1"/>
  <c r="P190" i="2"/>
  <c r="M190" i="2"/>
  <c r="L190" i="2"/>
  <c r="F190" i="2"/>
  <c r="J190" i="2" s="1"/>
  <c r="P189" i="2"/>
  <c r="M189" i="2"/>
  <c r="L189" i="2"/>
  <c r="E189" i="2"/>
  <c r="J189" i="2" s="1"/>
  <c r="N189" i="2" s="1"/>
  <c r="O189" i="2" s="1"/>
  <c r="P188" i="2"/>
  <c r="U188" i="2" s="1"/>
  <c r="W188" i="2" s="1"/>
  <c r="M188" i="2"/>
  <c r="L188" i="2"/>
  <c r="E188" i="2"/>
  <c r="J188" i="2" s="1"/>
  <c r="N188" i="2" s="1"/>
  <c r="O188" i="2" s="1"/>
  <c r="P187" i="2"/>
  <c r="M187" i="2"/>
  <c r="L187" i="2"/>
  <c r="E187" i="2"/>
  <c r="J187" i="2" s="1"/>
  <c r="N187" i="2" s="1"/>
  <c r="O187" i="2" s="1"/>
  <c r="P186" i="2"/>
  <c r="M186" i="2"/>
  <c r="L186" i="2"/>
  <c r="E186" i="2"/>
  <c r="J186" i="2" s="1"/>
  <c r="P185" i="2"/>
  <c r="Y185" i="2" s="1"/>
  <c r="O185" i="2"/>
  <c r="M185" i="2"/>
  <c r="L185" i="2"/>
  <c r="E185" i="2"/>
  <c r="J185" i="2" s="1"/>
  <c r="N185" i="2" s="1"/>
  <c r="P184" i="2"/>
  <c r="M184" i="2"/>
  <c r="L184" i="2"/>
  <c r="E184" i="2"/>
  <c r="J184" i="2" s="1"/>
  <c r="P183" i="2"/>
  <c r="M183" i="2"/>
  <c r="L183" i="2"/>
  <c r="F183" i="2"/>
  <c r="J183" i="2" s="1"/>
  <c r="AA182" i="2"/>
  <c r="P182" i="2"/>
  <c r="Y182" i="2" s="1"/>
  <c r="O182" i="2"/>
  <c r="M182" i="2"/>
  <c r="L182" i="2"/>
  <c r="E182" i="2"/>
  <c r="J182" i="2" s="1"/>
  <c r="N182" i="2" s="1"/>
  <c r="P181" i="2"/>
  <c r="U181" i="2" s="1"/>
  <c r="W181" i="2" s="1"/>
  <c r="N181" i="2"/>
  <c r="O181" i="2" s="1"/>
  <c r="M181" i="2"/>
  <c r="L181" i="2"/>
  <c r="J181" i="2"/>
  <c r="E181" i="2"/>
  <c r="AA180" i="2"/>
  <c r="P180" i="2"/>
  <c r="Q180" i="2" s="1"/>
  <c r="N180" i="2"/>
  <c r="O180" i="2" s="1"/>
  <c r="M180" i="2"/>
  <c r="L180" i="2"/>
  <c r="E180" i="2"/>
  <c r="J180" i="2" s="1"/>
  <c r="P179" i="2"/>
  <c r="Z179" i="2" s="1"/>
  <c r="M179" i="2"/>
  <c r="N179" i="2" s="1"/>
  <c r="O179" i="2" s="1"/>
  <c r="L179" i="2"/>
  <c r="J179" i="2"/>
  <c r="E179" i="2"/>
  <c r="AA178" i="2"/>
  <c r="P178" i="2"/>
  <c r="U178" i="2" s="1"/>
  <c r="V178" i="2" s="1"/>
  <c r="M178" i="2"/>
  <c r="L178" i="2"/>
  <c r="J178" i="2"/>
  <c r="N178" i="2" s="1"/>
  <c r="O178" i="2" s="1"/>
  <c r="E178" i="2"/>
  <c r="AA177" i="2"/>
  <c r="P177" i="2"/>
  <c r="U177" i="2" s="1"/>
  <c r="W177" i="2" s="1"/>
  <c r="N177" i="2"/>
  <c r="O177" i="2" s="1"/>
  <c r="M177" i="2"/>
  <c r="L177" i="2"/>
  <c r="J177" i="2"/>
  <c r="E177" i="2"/>
  <c r="P176" i="2"/>
  <c r="Z176" i="2" s="1"/>
  <c r="M176" i="2"/>
  <c r="L176" i="2"/>
  <c r="E176" i="2"/>
  <c r="J176" i="2" s="1"/>
  <c r="N176" i="2" s="1"/>
  <c r="O176" i="2" s="1"/>
  <c r="AA175" i="2"/>
  <c r="P175" i="2"/>
  <c r="Z175" i="2" s="1"/>
  <c r="M175" i="2"/>
  <c r="N175" i="2" s="1"/>
  <c r="O175" i="2" s="1"/>
  <c r="L175" i="2"/>
  <c r="J175" i="2"/>
  <c r="E175" i="2"/>
  <c r="P174" i="2"/>
  <c r="U174" i="2" s="1"/>
  <c r="V174" i="2" s="1"/>
  <c r="M174" i="2"/>
  <c r="L174" i="2"/>
  <c r="J174" i="2"/>
  <c r="N174" i="2" s="1"/>
  <c r="O174" i="2" s="1"/>
  <c r="E174" i="2"/>
  <c r="P173" i="2"/>
  <c r="U173" i="2" s="1"/>
  <c r="W173" i="2" s="1"/>
  <c r="M173" i="2"/>
  <c r="L173" i="2"/>
  <c r="J173" i="2"/>
  <c r="N173" i="2" s="1"/>
  <c r="O173" i="2" s="1"/>
  <c r="E173" i="2"/>
  <c r="P172" i="2"/>
  <c r="Z172" i="2" s="1"/>
  <c r="M172" i="2"/>
  <c r="L172" i="2"/>
  <c r="E172" i="2"/>
  <c r="J172" i="2" s="1"/>
  <c r="N172" i="2" s="1"/>
  <c r="O172" i="2" s="1"/>
  <c r="P171" i="2"/>
  <c r="Y171" i="2" s="1"/>
  <c r="M171" i="2"/>
  <c r="N171" i="2" s="1"/>
  <c r="O171" i="2" s="1"/>
  <c r="L171" i="2"/>
  <c r="J171" i="2"/>
  <c r="E171" i="2"/>
  <c r="P170" i="2"/>
  <c r="U170" i="2" s="1"/>
  <c r="V170" i="2" s="1"/>
  <c r="M170" i="2"/>
  <c r="L170" i="2"/>
  <c r="J170" i="2"/>
  <c r="N170" i="2" s="1"/>
  <c r="O170" i="2" s="1"/>
  <c r="E170" i="2"/>
  <c r="P169" i="2"/>
  <c r="U169" i="2" s="1"/>
  <c r="W169" i="2" s="1"/>
  <c r="N169" i="2"/>
  <c r="O169" i="2" s="1"/>
  <c r="M169" i="2"/>
  <c r="L169" i="2"/>
  <c r="J169" i="2"/>
  <c r="E169" i="2"/>
  <c r="P168" i="2"/>
  <c r="Z168" i="2" s="1"/>
  <c r="N168" i="2"/>
  <c r="O168" i="2" s="1"/>
  <c r="M168" i="2"/>
  <c r="L168" i="2"/>
  <c r="E168" i="2"/>
  <c r="J168" i="2" s="1"/>
  <c r="P167" i="2"/>
  <c r="Y167" i="2" s="1"/>
  <c r="M167" i="2"/>
  <c r="L167" i="2"/>
  <c r="J167" i="2"/>
  <c r="N167" i="2" s="1"/>
  <c r="O167" i="2" s="1"/>
  <c r="E167" i="2"/>
  <c r="P166" i="2"/>
  <c r="U166" i="2" s="1"/>
  <c r="V166" i="2" s="1"/>
  <c r="M166" i="2"/>
  <c r="L166" i="2"/>
  <c r="J166" i="2"/>
  <c r="N166" i="2" s="1"/>
  <c r="O166" i="2" s="1"/>
  <c r="E166" i="2"/>
  <c r="P165" i="2"/>
  <c r="Y165" i="2" s="1"/>
  <c r="N165" i="2"/>
  <c r="O165" i="2" s="1"/>
  <c r="M165" i="2"/>
  <c r="L165" i="2"/>
  <c r="J165" i="2"/>
  <c r="E165" i="2"/>
  <c r="P164" i="2"/>
  <c r="U164" i="2" s="1"/>
  <c r="M164" i="2"/>
  <c r="L164" i="2"/>
  <c r="E164" i="2"/>
  <c r="J164" i="2" s="1"/>
  <c r="N164" i="2" s="1"/>
  <c r="O164" i="2" s="1"/>
  <c r="AA163" i="2"/>
  <c r="P163" i="2"/>
  <c r="Z163" i="2" s="1"/>
  <c r="M163" i="2"/>
  <c r="L163" i="2"/>
  <c r="J163" i="2"/>
  <c r="N163" i="2" s="1"/>
  <c r="O163" i="2" s="1"/>
  <c r="E163" i="2"/>
  <c r="AA162" i="2"/>
  <c r="P162" i="2"/>
  <c r="U162" i="2" s="1"/>
  <c r="V162" i="2" s="1"/>
  <c r="M162" i="2"/>
  <c r="L162" i="2"/>
  <c r="J162" i="2"/>
  <c r="N162" i="2" s="1"/>
  <c r="O162" i="2" s="1"/>
  <c r="E162" i="2"/>
  <c r="AA161" i="2"/>
  <c r="P161" i="2"/>
  <c r="Y161" i="2" s="1"/>
  <c r="M161" i="2"/>
  <c r="L161" i="2"/>
  <c r="J161" i="2"/>
  <c r="N161" i="2" s="1"/>
  <c r="O161" i="2" s="1"/>
  <c r="E161" i="2"/>
  <c r="P160" i="2"/>
  <c r="Z160" i="2" s="1"/>
  <c r="M160" i="2"/>
  <c r="L160" i="2"/>
  <c r="E160" i="2"/>
  <c r="J160" i="2" s="1"/>
  <c r="N160" i="2" s="1"/>
  <c r="O160" i="2" s="1"/>
  <c r="P159" i="2"/>
  <c r="Z159" i="2" s="1"/>
  <c r="M159" i="2"/>
  <c r="L159" i="2"/>
  <c r="J159" i="2"/>
  <c r="N159" i="2" s="1"/>
  <c r="O159" i="2" s="1"/>
  <c r="E159" i="2"/>
  <c r="P158" i="2"/>
  <c r="U158" i="2" s="1"/>
  <c r="V158" i="2" s="1"/>
  <c r="M158" i="2"/>
  <c r="L158" i="2"/>
  <c r="J158" i="2"/>
  <c r="N158" i="2" s="1"/>
  <c r="O158" i="2" s="1"/>
  <c r="E158" i="2"/>
  <c r="P157" i="2"/>
  <c r="Y157" i="2" s="1"/>
  <c r="M157" i="2"/>
  <c r="L157" i="2"/>
  <c r="J157" i="2"/>
  <c r="N157" i="2" s="1"/>
  <c r="O157" i="2" s="1"/>
  <c r="E157" i="2"/>
  <c r="AA156" i="2"/>
  <c r="P156" i="2"/>
  <c r="Y156" i="2" s="1"/>
  <c r="M156" i="2"/>
  <c r="L156" i="2"/>
  <c r="E156" i="2"/>
  <c r="J156" i="2" s="1"/>
  <c r="N156" i="2" s="1"/>
  <c r="O156" i="2" s="1"/>
  <c r="P155" i="2"/>
  <c r="M155" i="2"/>
  <c r="L155" i="2"/>
  <c r="J155" i="2"/>
  <c r="N155" i="2" s="1"/>
  <c r="O155" i="2" s="1"/>
  <c r="E155" i="2"/>
  <c r="AA154" i="2"/>
  <c r="P154" i="2"/>
  <c r="U154" i="2" s="1"/>
  <c r="V154" i="2" s="1"/>
  <c r="M154" i="2"/>
  <c r="L154" i="2"/>
  <c r="J154" i="2"/>
  <c r="N154" i="2" s="1"/>
  <c r="O154" i="2" s="1"/>
  <c r="E154" i="2"/>
  <c r="P153" i="2"/>
  <c r="Y153" i="2" s="1"/>
  <c r="M153" i="2"/>
  <c r="L153" i="2"/>
  <c r="J153" i="2"/>
  <c r="N153" i="2" s="1"/>
  <c r="O153" i="2" s="1"/>
  <c r="E153" i="2"/>
  <c r="P152" i="2"/>
  <c r="Y152" i="2" s="1"/>
  <c r="M152" i="2"/>
  <c r="L152" i="2"/>
  <c r="E152" i="2"/>
  <c r="J152" i="2" s="1"/>
  <c r="N152" i="2" s="1"/>
  <c r="O152" i="2" s="1"/>
  <c r="P151" i="2"/>
  <c r="M151" i="2"/>
  <c r="L151" i="2"/>
  <c r="J151" i="2"/>
  <c r="N151" i="2" s="1"/>
  <c r="O151" i="2" s="1"/>
  <c r="E151" i="2"/>
  <c r="P150" i="2"/>
  <c r="U150" i="2" s="1"/>
  <c r="V150" i="2" s="1"/>
  <c r="M150" i="2"/>
  <c r="L150" i="2"/>
  <c r="J150" i="2"/>
  <c r="N150" i="2" s="1"/>
  <c r="O150" i="2" s="1"/>
  <c r="E150" i="2"/>
  <c r="P149" i="2"/>
  <c r="Y149" i="2" s="1"/>
  <c r="N149" i="2"/>
  <c r="O149" i="2" s="1"/>
  <c r="M149" i="2"/>
  <c r="L149" i="2"/>
  <c r="J149" i="2"/>
  <c r="E149" i="2"/>
  <c r="P148" i="2"/>
  <c r="Y148" i="2" s="1"/>
  <c r="M148" i="2"/>
  <c r="L148" i="2"/>
  <c r="E148" i="2"/>
  <c r="J148" i="2" s="1"/>
  <c r="N148" i="2" s="1"/>
  <c r="O148" i="2" s="1"/>
  <c r="P147" i="2"/>
  <c r="Q147" i="2" s="1"/>
  <c r="AA147" i="2" s="1"/>
  <c r="M147" i="2"/>
  <c r="L147" i="2"/>
  <c r="J147" i="2"/>
  <c r="N147" i="2" s="1"/>
  <c r="O147" i="2" s="1"/>
  <c r="E147" i="2"/>
  <c r="P146" i="2"/>
  <c r="U146" i="2" s="1"/>
  <c r="V146" i="2" s="1"/>
  <c r="M146" i="2"/>
  <c r="L146" i="2"/>
  <c r="J146" i="2"/>
  <c r="N146" i="2" s="1"/>
  <c r="O146" i="2" s="1"/>
  <c r="E146" i="2"/>
  <c r="P145" i="2"/>
  <c r="Y145" i="2" s="1"/>
  <c r="M145" i="2"/>
  <c r="L145" i="2"/>
  <c r="J145" i="2"/>
  <c r="N145" i="2" s="1"/>
  <c r="O145" i="2" s="1"/>
  <c r="E145" i="2"/>
  <c r="P144" i="2"/>
  <c r="Y144" i="2" s="1"/>
  <c r="N144" i="2"/>
  <c r="O144" i="2" s="1"/>
  <c r="M144" i="2"/>
  <c r="L144" i="2"/>
  <c r="E144" i="2"/>
  <c r="J144" i="2" s="1"/>
  <c r="P143" i="2"/>
  <c r="U143" i="2" s="1"/>
  <c r="M143" i="2"/>
  <c r="L143" i="2"/>
  <c r="J143" i="2"/>
  <c r="N143" i="2" s="1"/>
  <c r="O143" i="2" s="1"/>
  <c r="E143" i="2"/>
  <c r="AA142" i="2"/>
  <c r="P142" i="2"/>
  <c r="U142" i="2" s="1"/>
  <c r="V142" i="2" s="1"/>
  <c r="M142" i="2"/>
  <c r="L142" i="2"/>
  <c r="J142" i="2"/>
  <c r="N142" i="2" s="1"/>
  <c r="O142" i="2" s="1"/>
  <c r="E142" i="2"/>
  <c r="P141" i="2"/>
  <c r="Y141" i="2" s="1"/>
  <c r="N141" i="2"/>
  <c r="O141" i="2" s="1"/>
  <c r="M141" i="2"/>
  <c r="L141" i="2"/>
  <c r="J141" i="2"/>
  <c r="E141" i="2"/>
  <c r="P140" i="2"/>
  <c r="Y140" i="2" s="1"/>
  <c r="M140" i="2"/>
  <c r="L140" i="2"/>
  <c r="E140" i="2"/>
  <c r="J140" i="2" s="1"/>
  <c r="N140" i="2" s="1"/>
  <c r="O140" i="2" s="1"/>
  <c r="P139" i="2"/>
  <c r="M139" i="2"/>
  <c r="L139" i="2"/>
  <c r="J139" i="2"/>
  <c r="N139" i="2" s="1"/>
  <c r="O139" i="2" s="1"/>
  <c r="E139" i="2"/>
  <c r="P138" i="2"/>
  <c r="U138" i="2" s="1"/>
  <c r="V138" i="2" s="1"/>
  <c r="M138" i="2"/>
  <c r="L138" i="2"/>
  <c r="J138" i="2"/>
  <c r="N138" i="2" s="1"/>
  <c r="O138" i="2" s="1"/>
  <c r="E138" i="2"/>
  <c r="P137" i="2"/>
  <c r="Y137" i="2" s="1"/>
  <c r="M137" i="2"/>
  <c r="L137" i="2"/>
  <c r="J137" i="2"/>
  <c r="N137" i="2" s="1"/>
  <c r="O137" i="2" s="1"/>
  <c r="E137" i="2"/>
  <c r="P136" i="2"/>
  <c r="Y136" i="2" s="1"/>
  <c r="N136" i="2"/>
  <c r="O136" i="2" s="1"/>
  <c r="M136" i="2"/>
  <c r="L136" i="2"/>
  <c r="E136" i="2"/>
  <c r="J136" i="2" s="1"/>
  <c r="P135" i="2"/>
  <c r="Z135" i="2" s="1"/>
  <c r="M135" i="2"/>
  <c r="L135" i="2"/>
  <c r="F135" i="2"/>
  <c r="J135" i="2" s="1"/>
  <c r="N135" i="2" s="1"/>
  <c r="O135" i="2" s="1"/>
  <c r="AA134" i="2"/>
  <c r="P134" i="2"/>
  <c r="U134" i="2" s="1"/>
  <c r="V134" i="2" s="1"/>
  <c r="M134" i="2"/>
  <c r="L134" i="2"/>
  <c r="J134" i="2"/>
  <c r="N134" i="2" s="1"/>
  <c r="O134" i="2" s="1"/>
  <c r="E134" i="2"/>
  <c r="P133" i="2"/>
  <c r="Y133" i="2" s="1"/>
  <c r="M133" i="2"/>
  <c r="L133" i="2"/>
  <c r="J133" i="2"/>
  <c r="N133" i="2" s="1"/>
  <c r="O133" i="2" s="1"/>
  <c r="E133" i="2"/>
  <c r="P132" i="2"/>
  <c r="M132" i="2"/>
  <c r="L132" i="2"/>
  <c r="E132" i="2"/>
  <c r="J132" i="2" s="1"/>
  <c r="N132" i="2" s="1"/>
  <c r="O132" i="2" s="1"/>
  <c r="AA131" i="2"/>
  <c r="P131" i="2"/>
  <c r="Z131" i="2" s="1"/>
  <c r="M131" i="2"/>
  <c r="L131" i="2"/>
  <c r="E131" i="2"/>
  <c r="J131" i="2" s="1"/>
  <c r="N131" i="2" s="1"/>
  <c r="O131" i="2" s="1"/>
  <c r="AA130" i="2"/>
  <c r="P130" i="2"/>
  <c r="U130" i="2" s="1"/>
  <c r="V130" i="2" s="1"/>
  <c r="M130" i="2"/>
  <c r="L130" i="2"/>
  <c r="J130" i="2"/>
  <c r="N130" i="2" s="1"/>
  <c r="O130" i="2" s="1"/>
  <c r="E130" i="2"/>
  <c r="P129" i="2"/>
  <c r="U129" i="2" s="1"/>
  <c r="W129" i="2" s="1"/>
  <c r="M129" i="2"/>
  <c r="L129" i="2"/>
  <c r="J129" i="2"/>
  <c r="N129" i="2" s="1"/>
  <c r="O129" i="2" s="1"/>
  <c r="E129" i="2"/>
  <c r="P128" i="2"/>
  <c r="X128" i="2" s="1"/>
  <c r="M128" i="2"/>
  <c r="L128" i="2"/>
  <c r="E128" i="2"/>
  <c r="J128" i="2" s="1"/>
  <c r="N128" i="2" s="1"/>
  <c r="O128" i="2" s="1"/>
  <c r="P127" i="2"/>
  <c r="Z127" i="2" s="1"/>
  <c r="M127" i="2"/>
  <c r="L127" i="2"/>
  <c r="E127" i="2"/>
  <c r="J127" i="2" s="1"/>
  <c r="N127" i="2" s="1"/>
  <c r="O127" i="2" s="1"/>
  <c r="P126" i="2"/>
  <c r="U126" i="2" s="1"/>
  <c r="V126" i="2" s="1"/>
  <c r="M126" i="2"/>
  <c r="L126" i="2"/>
  <c r="J126" i="2"/>
  <c r="N126" i="2" s="1"/>
  <c r="O126" i="2" s="1"/>
  <c r="E126" i="2"/>
  <c r="P125" i="2"/>
  <c r="Y125" i="2" s="1"/>
  <c r="M125" i="2"/>
  <c r="L125" i="2"/>
  <c r="J125" i="2"/>
  <c r="N125" i="2" s="1"/>
  <c r="O125" i="2" s="1"/>
  <c r="E125" i="2"/>
  <c r="AA124" i="2"/>
  <c r="P124" i="2"/>
  <c r="Z124" i="2" s="1"/>
  <c r="N124" i="2"/>
  <c r="O124" i="2" s="1"/>
  <c r="M124" i="2"/>
  <c r="L124" i="2"/>
  <c r="F124" i="2"/>
  <c r="J124" i="2" s="1"/>
  <c r="AA123" i="2"/>
  <c r="P123" i="2"/>
  <c r="Q123" i="2" s="1"/>
  <c r="M123" i="2"/>
  <c r="L123" i="2"/>
  <c r="E123" i="2"/>
  <c r="J123" i="2" s="1"/>
  <c r="N123" i="2" s="1"/>
  <c r="O123" i="2" s="1"/>
  <c r="AA122" i="2"/>
  <c r="P122" i="2"/>
  <c r="M122" i="2"/>
  <c r="L122" i="2"/>
  <c r="J122" i="2"/>
  <c r="N122" i="2" s="1"/>
  <c r="O122" i="2" s="1"/>
  <c r="E122" i="2"/>
  <c r="P121" i="2"/>
  <c r="Y121" i="2" s="1"/>
  <c r="M121" i="2"/>
  <c r="L121" i="2"/>
  <c r="J121" i="2"/>
  <c r="N121" i="2" s="1"/>
  <c r="O121" i="2" s="1"/>
  <c r="F121" i="2"/>
  <c r="P120" i="2"/>
  <c r="N120" i="2"/>
  <c r="O120" i="2" s="1"/>
  <c r="M120" i="2"/>
  <c r="L120" i="2"/>
  <c r="F120" i="2"/>
  <c r="J120" i="2" s="1"/>
  <c r="P119" i="2"/>
  <c r="Z119" i="2" s="1"/>
  <c r="M119" i="2"/>
  <c r="L119" i="2"/>
  <c r="E119" i="2"/>
  <c r="J119" i="2" s="1"/>
  <c r="N119" i="2" s="1"/>
  <c r="O119" i="2" s="1"/>
  <c r="P118" i="2"/>
  <c r="U118" i="2" s="1"/>
  <c r="V118" i="2" s="1"/>
  <c r="M118" i="2"/>
  <c r="L118" i="2"/>
  <c r="J118" i="2"/>
  <c r="N118" i="2" s="1"/>
  <c r="O118" i="2" s="1"/>
  <c r="E118" i="2"/>
  <c r="P117" i="2"/>
  <c r="M117" i="2"/>
  <c r="L117" i="2"/>
  <c r="J117" i="2"/>
  <c r="N117" i="2" s="1"/>
  <c r="O117" i="2" s="1"/>
  <c r="F117" i="2"/>
  <c r="P116" i="2"/>
  <c r="X116" i="2" s="1"/>
  <c r="N116" i="2"/>
  <c r="O116" i="2" s="1"/>
  <c r="M116" i="2"/>
  <c r="L116" i="2"/>
  <c r="E116" i="2"/>
  <c r="J116" i="2" s="1"/>
  <c r="P115" i="2"/>
  <c r="Z115" i="2" s="1"/>
  <c r="M115" i="2"/>
  <c r="L115" i="2"/>
  <c r="F115" i="2"/>
  <c r="J115" i="2" s="1"/>
  <c r="N115" i="2" s="1"/>
  <c r="O115" i="2" s="1"/>
  <c r="P114" i="2"/>
  <c r="M114" i="2"/>
  <c r="L114" i="2"/>
  <c r="J114" i="2"/>
  <c r="N114" i="2" s="1"/>
  <c r="O114" i="2" s="1"/>
  <c r="F114" i="2"/>
  <c r="P113" i="2"/>
  <c r="Y113" i="2" s="1"/>
  <c r="M113" i="2"/>
  <c r="L113" i="2"/>
  <c r="J113" i="2"/>
  <c r="N113" i="2" s="1"/>
  <c r="O113" i="2" s="1"/>
  <c r="E113" i="2"/>
  <c r="P112" i="2"/>
  <c r="Q112" i="2" s="1"/>
  <c r="N112" i="2"/>
  <c r="O112" i="2" s="1"/>
  <c r="M112" i="2"/>
  <c r="L112" i="2"/>
  <c r="E112" i="2"/>
  <c r="J112" i="2" s="1"/>
  <c r="P111" i="2"/>
  <c r="M111" i="2"/>
  <c r="L111" i="2"/>
  <c r="F111" i="2"/>
  <c r="J111" i="2" s="1"/>
  <c r="N111" i="2" s="1"/>
  <c r="O111" i="2" s="1"/>
  <c r="P110" i="2"/>
  <c r="U110" i="2" s="1"/>
  <c r="V110" i="2" s="1"/>
  <c r="M110" i="2"/>
  <c r="L110" i="2"/>
  <c r="J110" i="2"/>
  <c r="N110" i="2" s="1"/>
  <c r="O110" i="2" s="1"/>
  <c r="E110" i="2"/>
  <c r="P109" i="2"/>
  <c r="Y109" i="2" s="1"/>
  <c r="M109" i="2"/>
  <c r="L109" i="2"/>
  <c r="J109" i="2"/>
  <c r="N109" i="2" s="1"/>
  <c r="O109" i="2" s="1"/>
  <c r="F109" i="2"/>
  <c r="P108" i="2"/>
  <c r="U108" i="2" s="1"/>
  <c r="N108" i="2"/>
  <c r="O108" i="2" s="1"/>
  <c r="M108" i="2"/>
  <c r="L108" i="2"/>
  <c r="F108" i="2"/>
  <c r="J108" i="2" s="1"/>
  <c r="P107" i="2"/>
  <c r="Z107" i="2" s="1"/>
  <c r="M107" i="2"/>
  <c r="L107" i="2"/>
  <c r="E107" i="2"/>
  <c r="J107" i="2" s="1"/>
  <c r="N107" i="2" s="1"/>
  <c r="O107" i="2" s="1"/>
  <c r="P106" i="2"/>
  <c r="M106" i="2"/>
  <c r="L106" i="2"/>
  <c r="J106" i="2"/>
  <c r="N106" i="2" s="1"/>
  <c r="O106" i="2" s="1"/>
  <c r="E106" i="2"/>
  <c r="P105" i="2"/>
  <c r="Y105" i="2" s="1"/>
  <c r="M105" i="2"/>
  <c r="L105" i="2"/>
  <c r="J105" i="2"/>
  <c r="N105" i="2" s="1"/>
  <c r="O105" i="2" s="1"/>
  <c r="E105" i="2"/>
  <c r="P104" i="2"/>
  <c r="AA104" i="2" s="1"/>
  <c r="N104" i="2"/>
  <c r="O104" i="2" s="1"/>
  <c r="M104" i="2"/>
  <c r="L104" i="2"/>
  <c r="F104" i="2"/>
  <c r="J104" i="2" s="1"/>
  <c r="P103" i="2"/>
  <c r="M103" i="2"/>
  <c r="L103" i="2"/>
  <c r="E103" i="2"/>
  <c r="J103" i="2" s="1"/>
  <c r="N103" i="2" s="1"/>
  <c r="O103" i="2" s="1"/>
  <c r="P102" i="2"/>
  <c r="U102" i="2" s="1"/>
  <c r="V102" i="2" s="1"/>
  <c r="M102" i="2"/>
  <c r="L102" i="2"/>
  <c r="J102" i="2"/>
  <c r="N102" i="2" s="1"/>
  <c r="O102" i="2" s="1"/>
  <c r="E102" i="2"/>
  <c r="P101" i="2"/>
  <c r="M101" i="2"/>
  <c r="L101" i="2"/>
  <c r="J101" i="2"/>
  <c r="N101" i="2" s="1"/>
  <c r="O101" i="2" s="1"/>
  <c r="F101" i="2"/>
  <c r="P100" i="2"/>
  <c r="AA100" i="2" s="1"/>
  <c r="N100" i="2"/>
  <c r="O100" i="2" s="1"/>
  <c r="M100" i="2"/>
  <c r="L100" i="2"/>
  <c r="F100" i="2"/>
  <c r="J100" i="2" s="1"/>
  <c r="P99" i="2"/>
  <c r="Z99" i="2" s="1"/>
  <c r="M99" i="2"/>
  <c r="L99" i="2"/>
  <c r="E99" i="2"/>
  <c r="J99" i="2" s="1"/>
  <c r="N99" i="2" s="1"/>
  <c r="O99" i="2" s="1"/>
  <c r="P98" i="2"/>
  <c r="M98" i="2"/>
  <c r="L98" i="2"/>
  <c r="F98" i="2"/>
  <c r="J98" i="2" s="1"/>
  <c r="N98" i="2" s="1"/>
  <c r="O98" i="2" s="1"/>
  <c r="P97" i="2"/>
  <c r="Q97" i="2" s="1"/>
  <c r="AA97" i="2" s="1"/>
  <c r="M97" i="2"/>
  <c r="L97" i="2"/>
  <c r="F97" i="2"/>
  <c r="J97" i="2" s="1"/>
  <c r="N97" i="2" s="1"/>
  <c r="O97" i="2" s="1"/>
  <c r="P96" i="2"/>
  <c r="X96" i="2" s="1"/>
  <c r="M96" i="2"/>
  <c r="L96" i="2"/>
  <c r="F96" i="2"/>
  <c r="J96" i="2" s="1"/>
  <c r="N96" i="2" s="1"/>
  <c r="O96" i="2" s="1"/>
  <c r="P95" i="2"/>
  <c r="M95" i="2"/>
  <c r="L95" i="2"/>
  <c r="E95" i="2"/>
  <c r="J95" i="2" s="1"/>
  <c r="N95" i="2" s="1"/>
  <c r="O95" i="2" s="1"/>
  <c r="P94" i="2"/>
  <c r="M94" i="2"/>
  <c r="L94" i="2"/>
  <c r="F94" i="2"/>
  <c r="J94" i="2" s="1"/>
  <c r="N94" i="2" s="1"/>
  <c r="O94" i="2" s="1"/>
  <c r="P93" i="2"/>
  <c r="M93" i="2"/>
  <c r="L93" i="2"/>
  <c r="E93" i="2"/>
  <c r="J93" i="2" s="1"/>
  <c r="N93" i="2" s="1"/>
  <c r="O93" i="2" s="1"/>
  <c r="P92" i="2"/>
  <c r="X92" i="2" s="1"/>
  <c r="M92" i="2"/>
  <c r="L92" i="2"/>
  <c r="E92" i="2"/>
  <c r="J92" i="2" s="1"/>
  <c r="N92" i="2" s="1"/>
  <c r="O92" i="2" s="1"/>
  <c r="P91" i="2"/>
  <c r="M91" i="2"/>
  <c r="L91" i="2"/>
  <c r="E91" i="2"/>
  <c r="J91" i="2" s="1"/>
  <c r="N91" i="2" s="1"/>
  <c r="O91" i="2" s="1"/>
  <c r="P90" i="2"/>
  <c r="M90" i="2"/>
  <c r="L90" i="2"/>
  <c r="E90" i="2"/>
  <c r="J90" i="2" s="1"/>
  <c r="N90" i="2" s="1"/>
  <c r="O90" i="2" s="1"/>
  <c r="P89" i="2"/>
  <c r="Q89" i="2" s="1"/>
  <c r="AA89" i="2" s="1"/>
  <c r="M89" i="2"/>
  <c r="L89" i="2"/>
  <c r="F89" i="2"/>
  <c r="J89" i="2" s="1"/>
  <c r="N89" i="2" s="1"/>
  <c r="O89" i="2" s="1"/>
  <c r="P88" i="2"/>
  <c r="X88" i="2" s="1"/>
  <c r="M88" i="2"/>
  <c r="L88" i="2"/>
  <c r="E88" i="2"/>
  <c r="J88" i="2" s="1"/>
  <c r="N88" i="2" s="1"/>
  <c r="O88" i="2" s="1"/>
  <c r="P87" i="2"/>
  <c r="M87" i="2"/>
  <c r="L87" i="2"/>
  <c r="F87" i="2"/>
  <c r="J87" i="2" s="1"/>
  <c r="N87" i="2" s="1"/>
  <c r="O87" i="2" s="1"/>
  <c r="AA86" i="2"/>
  <c r="P86" i="2"/>
  <c r="U86" i="2" s="1"/>
  <c r="M86" i="2"/>
  <c r="L86" i="2"/>
  <c r="E86" i="2"/>
  <c r="J86" i="2" s="1"/>
  <c r="N86" i="2" s="1"/>
  <c r="O86" i="2" s="1"/>
  <c r="P85" i="2"/>
  <c r="U85" i="2" s="1"/>
  <c r="M85" i="2"/>
  <c r="L85" i="2"/>
  <c r="E85" i="2"/>
  <c r="J85" i="2" s="1"/>
  <c r="N85" i="2" s="1"/>
  <c r="O85" i="2" s="1"/>
  <c r="P84" i="2"/>
  <c r="X84" i="2" s="1"/>
  <c r="M84" i="2"/>
  <c r="L84" i="2"/>
  <c r="E84" i="2"/>
  <c r="J84" i="2" s="1"/>
  <c r="N84" i="2" s="1"/>
  <c r="O84" i="2" s="1"/>
  <c r="P83" i="2"/>
  <c r="M83" i="2"/>
  <c r="L83" i="2"/>
  <c r="E83" i="2"/>
  <c r="J83" i="2" s="1"/>
  <c r="N83" i="2" s="1"/>
  <c r="O83" i="2" s="1"/>
  <c r="P82" i="2"/>
  <c r="M82" i="2"/>
  <c r="L82" i="2"/>
  <c r="E82" i="2"/>
  <c r="J82" i="2" s="1"/>
  <c r="N82" i="2" s="1"/>
  <c r="O82" i="2" s="1"/>
  <c r="P81" i="2"/>
  <c r="U81" i="2" s="1"/>
  <c r="M81" i="2"/>
  <c r="L81" i="2"/>
  <c r="E81" i="2"/>
  <c r="J81" i="2" s="1"/>
  <c r="N81" i="2" s="1"/>
  <c r="O81" i="2" s="1"/>
  <c r="P80" i="2"/>
  <c r="U80" i="2" s="1"/>
  <c r="W80" i="2" s="1"/>
  <c r="M80" i="2"/>
  <c r="L80" i="2"/>
  <c r="E80" i="2"/>
  <c r="J80" i="2" s="1"/>
  <c r="N80" i="2" s="1"/>
  <c r="O80" i="2" s="1"/>
  <c r="P79" i="2"/>
  <c r="M79" i="2"/>
  <c r="L79" i="2"/>
  <c r="E79" i="2"/>
  <c r="J79" i="2" s="1"/>
  <c r="N79" i="2" s="1"/>
  <c r="O79" i="2" s="1"/>
  <c r="P78" i="2"/>
  <c r="M78" i="2"/>
  <c r="L78" i="2"/>
  <c r="E78" i="2"/>
  <c r="J78" i="2" s="1"/>
  <c r="N78" i="2" s="1"/>
  <c r="O78" i="2" s="1"/>
  <c r="AA77" i="2"/>
  <c r="P77" i="2"/>
  <c r="U77" i="2" s="1"/>
  <c r="M77" i="2"/>
  <c r="L77" i="2"/>
  <c r="E77" i="2"/>
  <c r="J77" i="2" s="1"/>
  <c r="N77" i="2" s="1"/>
  <c r="O77" i="2" s="1"/>
  <c r="P76" i="2"/>
  <c r="M76" i="2"/>
  <c r="L76" i="2"/>
  <c r="F76" i="2"/>
  <c r="J76" i="2" s="1"/>
  <c r="N76" i="2" s="1"/>
  <c r="O76" i="2" s="1"/>
  <c r="P75" i="2"/>
  <c r="M75" i="2"/>
  <c r="L75" i="2"/>
  <c r="E75" i="2"/>
  <c r="J75" i="2" s="1"/>
  <c r="N75" i="2" s="1"/>
  <c r="O75" i="2" s="1"/>
  <c r="P74" i="2"/>
  <c r="M74" i="2"/>
  <c r="L74" i="2"/>
  <c r="E74" i="2"/>
  <c r="J74" i="2" s="1"/>
  <c r="N74" i="2" s="1"/>
  <c r="O74" i="2" s="1"/>
  <c r="P73" i="2"/>
  <c r="U73" i="2" s="1"/>
  <c r="M73" i="2"/>
  <c r="L73" i="2"/>
  <c r="E73" i="2"/>
  <c r="J73" i="2" s="1"/>
  <c r="N73" i="2" s="1"/>
  <c r="O73" i="2" s="1"/>
  <c r="P72" i="2"/>
  <c r="M72" i="2"/>
  <c r="L72" i="2"/>
  <c r="E72" i="2"/>
  <c r="J72" i="2" s="1"/>
  <c r="N72" i="2" s="1"/>
  <c r="O72" i="2" s="1"/>
  <c r="P71" i="2"/>
  <c r="M71" i="2"/>
  <c r="L71" i="2"/>
  <c r="E71" i="2"/>
  <c r="J71" i="2" s="1"/>
  <c r="N71" i="2" s="1"/>
  <c r="O71" i="2" s="1"/>
  <c r="P70" i="2"/>
  <c r="AA70" i="2" s="1"/>
  <c r="M70" i="2"/>
  <c r="L70" i="2"/>
  <c r="F70" i="2"/>
  <c r="J70" i="2" s="1"/>
  <c r="N70" i="2" s="1"/>
  <c r="O70" i="2" s="1"/>
  <c r="P69" i="2"/>
  <c r="U69" i="2" s="1"/>
  <c r="M69" i="2"/>
  <c r="L69" i="2"/>
  <c r="F69" i="2"/>
  <c r="J69" i="2" s="1"/>
  <c r="N69" i="2" s="1"/>
  <c r="O69" i="2" s="1"/>
  <c r="P68" i="2"/>
  <c r="X68" i="2" s="1"/>
  <c r="M68" i="2"/>
  <c r="L68" i="2"/>
  <c r="F68" i="2"/>
  <c r="J68" i="2" s="1"/>
  <c r="N68" i="2" s="1"/>
  <c r="O68" i="2" s="1"/>
  <c r="P67" i="2"/>
  <c r="M67" i="2"/>
  <c r="L67" i="2"/>
  <c r="E67" i="2"/>
  <c r="J67" i="2" s="1"/>
  <c r="N67" i="2" s="1"/>
  <c r="O67" i="2" s="1"/>
  <c r="P66" i="2"/>
  <c r="Q66" i="2" s="1"/>
  <c r="M66" i="2"/>
  <c r="L66" i="2"/>
  <c r="E66" i="2"/>
  <c r="J66" i="2" s="1"/>
  <c r="N66" i="2" s="1"/>
  <c r="O66" i="2" s="1"/>
  <c r="P65" i="2"/>
  <c r="X65" i="2" s="1"/>
  <c r="M65" i="2"/>
  <c r="L65" i="2"/>
  <c r="F65" i="2"/>
  <c r="J65" i="2" s="1"/>
  <c r="N65" i="2" s="1"/>
  <c r="O65" i="2" s="1"/>
  <c r="P64" i="2"/>
  <c r="X64" i="2" s="1"/>
  <c r="M64" i="2"/>
  <c r="L64" i="2"/>
  <c r="E64" i="2"/>
  <c r="J64" i="2" s="1"/>
  <c r="N64" i="2" s="1"/>
  <c r="O64" i="2" s="1"/>
  <c r="P63" i="2"/>
  <c r="M63" i="2"/>
  <c r="L63" i="2"/>
  <c r="F63" i="2"/>
  <c r="J63" i="2" s="1"/>
  <c r="N63" i="2" s="1"/>
  <c r="O63" i="2" s="1"/>
  <c r="P62" i="2"/>
  <c r="M62" i="2"/>
  <c r="L62" i="2"/>
  <c r="F62" i="2"/>
  <c r="J62" i="2" s="1"/>
  <c r="N62" i="2" s="1"/>
  <c r="O62" i="2" s="1"/>
  <c r="P61" i="2"/>
  <c r="M61" i="2"/>
  <c r="L61" i="2"/>
  <c r="E61" i="2"/>
  <c r="J61" i="2" s="1"/>
  <c r="N61" i="2" s="1"/>
  <c r="O61" i="2" s="1"/>
  <c r="P60" i="2"/>
  <c r="X60" i="2" s="1"/>
  <c r="M60" i="2"/>
  <c r="L60" i="2"/>
  <c r="F60" i="2"/>
  <c r="J60" i="2" s="1"/>
  <c r="N60" i="2" s="1"/>
  <c r="O60" i="2" s="1"/>
  <c r="P59" i="2"/>
  <c r="M59" i="2"/>
  <c r="L59" i="2"/>
  <c r="E59" i="2"/>
  <c r="J59" i="2" s="1"/>
  <c r="N59" i="2" s="1"/>
  <c r="O59" i="2" s="1"/>
  <c r="P58" i="2"/>
  <c r="AA58" i="2" s="1"/>
  <c r="M58" i="2"/>
  <c r="L58" i="2"/>
  <c r="F58" i="2"/>
  <c r="J58" i="2" s="1"/>
  <c r="N58" i="2" s="1"/>
  <c r="O58" i="2" s="1"/>
  <c r="P57" i="2"/>
  <c r="U57" i="2" s="1"/>
  <c r="M57" i="2"/>
  <c r="L57" i="2"/>
  <c r="E57" i="2"/>
  <c r="J57" i="2" s="1"/>
  <c r="N57" i="2" s="1"/>
  <c r="O57" i="2" s="1"/>
  <c r="P56" i="2"/>
  <c r="X56" i="2" s="1"/>
  <c r="M56" i="2"/>
  <c r="L56" i="2"/>
  <c r="E56" i="2"/>
  <c r="J56" i="2" s="1"/>
  <c r="N56" i="2" s="1"/>
  <c r="O56" i="2" s="1"/>
  <c r="AA55" i="2"/>
  <c r="P55" i="2"/>
  <c r="Z55" i="2" s="1"/>
  <c r="M55" i="2"/>
  <c r="L55" i="2"/>
  <c r="E55" i="2"/>
  <c r="J55" i="2" s="1"/>
  <c r="N55" i="2" s="1"/>
  <c r="O55" i="2" s="1"/>
  <c r="AA54" i="2"/>
  <c r="P54" i="2"/>
  <c r="U54" i="2" s="1"/>
  <c r="M54" i="2"/>
  <c r="L54" i="2"/>
  <c r="F54" i="2"/>
  <c r="J54" i="2" s="1"/>
  <c r="N54" i="2" s="1"/>
  <c r="O54" i="2" s="1"/>
  <c r="P53" i="2"/>
  <c r="U53" i="2" s="1"/>
  <c r="M53" i="2"/>
  <c r="L53" i="2"/>
  <c r="E53" i="2"/>
  <c r="J53" i="2" s="1"/>
  <c r="N53" i="2" s="1"/>
  <c r="O53" i="2" s="1"/>
  <c r="P52" i="2"/>
  <c r="X52" i="2" s="1"/>
  <c r="M52" i="2"/>
  <c r="L52" i="2"/>
  <c r="F52" i="2"/>
  <c r="J52" i="2" s="1"/>
  <c r="N52" i="2" s="1"/>
  <c r="O52" i="2" s="1"/>
  <c r="P51" i="2"/>
  <c r="M51" i="2"/>
  <c r="L51" i="2"/>
  <c r="F51" i="2"/>
  <c r="J51" i="2" s="1"/>
  <c r="N51" i="2" s="1"/>
  <c r="O51" i="2" s="1"/>
  <c r="P50" i="2"/>
  <c r="M50" i="2"/>
  <c r="L50" i="2"/>
  <c r="E50" i="2"/>
  <c r="J50" i="2" s="1"/>
  <c r="N50" i="2" s="1"/>
  <c r="O50" i="2" s="1"/>
  <c r="P49" i="2"/>
  <c r="U49" i="2" s="1"/>
  <c r="M49" i="2"/>
  <c r="L49" i="2"/>
  <c r="E49" i="2"/>
  <c r="J49" i="2" s="1"/>
  <c r="N49" i="2" s="1"/>
  <c r="O49" i="2" s="1"/>
  <c r="P48" i="2"/>
  <c r="U48" i="2" s="1"/>
  <c r="W48" i="2" s="1"/>
  <c r="M48" i="2"/>
  <c r="L48" i="2"/>
  <c r="F48" i="2"/>
  <c r="J48" i="2" s="1"/>
  <c r="N48" i="2" s="1"/>
  <c r="O48" i="2" s="1"/>
  <c r="P47" i="2"/>
  <c r="M47" i="2"/>
  <c r="L47" i="2"/>
  <c r="F47" i="2"/>
  <c r="J47" i="2" s="1"/>
  <c r="N47" i="2" s="1"/>
  <c r="O47" i="2" s="1"/>
  <c r="P46" i="2"/>
  <c r="M46" i="2"/>
  <c r="L46" i="2"/>
  <c r="E46" i="2"/>
  <c r="J46" i="2" s="1"/>
  <c r="N46" i="2" s="1"/>
  <c r="O46" i="2" s="1"/>
  <c r="AA45" i="2"/>
  <c r="P45" i="2"/>
  <c r="U45" i="2" s="1"/>
  <c r="M45" i="2"/>
  <c r="L45" i="2"/>
  <c r="F45" i="2"/>
  <c r="J45" i="2" s="1"/>
  <c r="N45" i="2" s="1"/>
  <c r="O45" i="2" s="1"/>
  <c r="AA44" i="2"/>
  <c r="P44" i="2"/>
  <c r="M44" i="2"/>
  <c r="L44" i="2"/>
  <c r="E44" i="2"/>
  <c r="J44" i="2" s="1"/>
  <c r="N44" i="2" s="1"/>
  <c r="O44" i="2" s="1"/>
  <c r="AA43" i="2"/>
  <c r="P43" i="2"/>
  <c r="Z43" i="2" s="1"/>
  <c r="M43" i="2"/>
  <c r="L43" i="2"/>
  <c r="F43" i="2"/>
  <c r="J43" i="2" s="1"/>
  <c r="N43" i="2" s="1"/>
  <c r="O43" i="2" s="1"/>
  <c r="AA42" i="2"/>
  <c r="P42" i="2"/>
  <c r="U42" i="2" s="1"/>
  <c r="M42" i="2"/>
  <c r="L42" i="2"/>
  <c r="F42" i="2"/>
  <c r="J42" i="2" s="1"/>
  <c r="N42" i="2" s="1"/>
  <c r="O42" i="2" s="1"/>
  <c r="AA41" i="2"/>
  <c r="P41" i="2"/>
  <c r="U41" i="2" s="1"/>
  <c r="M41" i="2"/>
  <c r="L41" i="2"/>
  <c r="F41" i="2"/>
  <c r="J41" i="2" s="1"/>
  <c r="N41" i="2" s="1"/>
  <c r="O41" i="2" s="1"/>
  <c r="AA40" i="2"/>
  <c r="P40" i="2"/>
  <c r="U40" i="2" s="1"/>
  <c r="W40" i="2" s="1"/>
  <c r="M40" i="2"/>
  <c r="L40" i="2"/>
  <c r="E40" i="2"/>
  <c r="J40" i="2" s="1"/>
  <c r="N40" i="2" s="1"/>
  <c r="O40" i="2" s="1"/>
  <c r="P39" i="2"/>
  <c r="M39" i="2"/>
  <c r="L39" i="2"/>
  <c r="F39" i="2"/>
  <c r="J39" i="2" s="1"/>
  <c r="N39" i="2" s="1"/>
  <c r="O39" i="2" s="1"/>
  <c r="P38" i="2"/>
  <c r="M38" i="2"/>
  <c r="L38" i="2"/>
  <c r="E38" i="2"/>
  <c r="J38" i="2" s="1"/>
  <c r="N38" i="2" s="1"/>
  <c r="O38" i="2" s="1"/>
  <c r="P37" i="2"/>
  <c r="U37" i="2" s="1"/>
  <c r="M37" i="2"/>
  <c r="L37" i="2"/>
  <c r="E37" i="2"/>
  <c r="J37" i="2" s="1"/>
  <c r="N37" i="2" s="1"/>
  <c r="O37" i="2" s="1"/>
  <c r="P36" i="2"/>
  <c r="X36" i="2" s="1"/>
  <c r="M36" i="2"/>
  <c r="L36" i="2"/>
  <c r="F36" i="2"/>
  <c r="J36" i="2" s="1"/>
  <c r="N36" i="2" s="1"/>
  <c r="O36" i="2" s="1"/>
  <c r="P35" i="2"/>
  <c r="M35" i="2"/>
  <c r="L35" i="2"/>
  <c r="F35" i="2"/>
  <c r="J35" i="2" s="1"/>
  <c r="N35" i="2" s="1"/>
  <c r="O35" i="2" s="1"/>
  <c r="P34" i="2"/>
  <c r="M34" i="2"/>
  <c r="L34" i="2"/>
  <c r="E34" i="2"/>
  <c r="J34" i="2" s="1"/>
  <c r="N34" i="2" s="1"/>
  <c r="O34" i="2" s="1"/>
  <c r="P33" i="2"/>
  <c r="M33" i="2"/>
  <c r="L33" i="2"/>
  <c r="F33" i="2"/>
  <c r="J33" i="2" s="1"/>
  <c r="N33" i="2" s="1"/>
  <c r="O33" i="2" s="1"/>
  <c r="P32" i="2"/>
  <c r="X32" i="2" s="1"/>
  <c r="M32" i="2"/>
  <c r="L32" i="2"/>
  <c r="F32" i="2"/>
  <c r="J32" i="2" s="1"/>
  <c r="N32" i="2" s="1"/>
  <c r="O32" i="2" s="1"/>
  <c r="P31" i="2"/>
  <c r="M31" i="2"/>
  <c r="L31" i="2"/>
  <c r="E31" i="2"/>
  <c r="J31" i="2" s="1"/>
  <c r="N31" i="2" s="1"/>
  <c r="O31" i="2" s="1"/>
  <c r="P30" i="2"/>
  <c r="U30" i="2" s="1"/>
  <c r="M30" i="2"/>
  <c r="L30" i="2"/>
  <c r="E30" i="2"/>
  <c r="J30" i="2" s="1"/>
  <c r="N30" i="2" s="1"/>
  <c r="O30" i="2" s="1"/>
  <c r="P29" i="2"/>
  <c r="U29" i="2" s="1"/>
  <c r="M29" i="2"/>
  <c r="L29" i="2"/>
  <c r="E29" i="2"/>
  <c r="J29" i="2" s="1"/>
  <c r="N29" i="2" s="1"/>
  <c r="O29" i="2" s="1"/>
  <c r="P28" i="2"/>
  <c r="M28" i="2"/>
  <c r="L28" i="2"/>
  <c r="F28" i="2"/>
  <c r="J28" i="2" s="1"/>
  <c r="N28" i="2" s="1"/>
  <c r="O28" i="2" s="1"/>
  <c r="P27" i="2"/>
  <c r="M27" i="2"/>
  <c r="L27" i="2"/>
  <c r="E27" i="2"/>
  <c r="J27" i="2" s="1"/>
  <c r="N27" i="2" s="1"/>
  <c r="O27" i="2" s="1"/>
  <c r="P26" i="2"/>
  <c r="U26" i="2" s="1"/>
  <c r="M26" i="2"/>
  <c r="L26" i="2"/>
  <c r="E26" i="2"/>
  <c r="J26" i="2" s="1"/>
  <c r="N26" i="2" s="1"/>
  <c r="O26" i="2" s="1"/>
  <c r="P25" i="2"/>
  <c r="U25" i="2" s="1"/>
  <c r="M25" i="2"/>
  <c r="L25" i="2"/>
  <c r="E25" i="2"/>
  <c r="J25" i="2" s="1"/>
  <c r="N25" i="2" s="1"/>
  <c r="O25" i="2" s="1"/>
  <c r="P24" i="2"/>
  <c r="M24" i="2"/>
  <c r="L24" i="2"/>
  <c r="E24" i="2"/>
  <c r="J24" i="2" s="1"/>
  <c r="N24" i="2" s="1"/>
  <c r="O24" i="2" s="1"/>
  <c r="P23" i="2"/>
  <c r="M23" i="2"/>
  <c r="L23" i="2"/>
  <c r="F23" i="2"/>
  <c r="J23" i="2" s="1"/>
  <c r="N23" i="2" s="1"/>
  <c r="O23" i="2" s="1"/>
  <c r="AA22" i="2"/>
  <c r="P22" i="2"/>
  <c r="Q22" i="2" s="1"/>
  <c r="M22" i="2"/>
  <c r="L22" i="2"/>
  <c r="E22" i="2"/>
  <c r="J22" i="2" s="1"/>
  <c r="N22" i="2" s="1"/>
  <c r="O22" i="2" s="1"/>
  <c r="AA21" i="2"/>
  <c r="P21" i="2"/>
  <c r="U21" i="2" s="1"/>
  <c r="M21" i="2"/>
  <c r="L21" i="2"/>
  <c r="F21" i="2"/>
  <c r="J21" i="2" s="1"/>
  <c r="N21" i="2" s="1"/>
  <c r="O21" i="2" s="1"/>
  <c r="AA20" i="2"/>
  <c r="P20" i="2"/>
  <c r="M20" i="2"/>
  <c r="L20" i="2"/>
  <c r="F20" i="2"/>
  <c r="J20" i="2" s="1"/>
  <c r="N20" i="2" s="1"/>
  <c r="O20" i="2" s="1"/>
  <c r="P19" i="2"/>
  <c r="M19" i="2"/>
  <c r="L19" i="2"/>
  <c r="E19" i="2"/>
  <c r="J19" i="2" s="1"/>
  <c r="N19" i="2" s="1"/>
  <c r="O19" i="2" s="1"/>
  <c r="P18" i="2"/>
  <c r="M18" i="2"/>
  <c r="L18" i="2"/>
  <c r="F18" i="2"/>
  <c r="J18" i="2" s="1"/>
  <c r="N18" i="2" s="1"/>
  <c r="O18" i="2" s="1"/>
  <c r="P17" i="2"/>
  <c r="U17" i="2" s="1"/>
  <c r="M17" i="2"/>
  <c r="L17" i="2"/>
  <c r="E17" i="2"/>
  <c r="J17" i="2" s="1"/>
  <c r="N17" i="2" s="1"/>
  <c r="O17" i="2" s="1"/>
  <c r="P16" i="2"/>
  <c r="X16" i="2" s="1"/>
  <c r="M16" i="2"/>
  <c r="L16" i="2"/>
  <c r="F16" i="2"/>
  <c r="J16" i="2" s="1"/>
  <c r="N16" i="2" s="1"/>
  <c r="O16" i="2" s="1"/>
  <c r="P15" i="2"/>
  <c r="M15" i="2"/>
  <c r="L15" i="2"/>
  <c r="F15" i="2"/>
  <c r="J15" i="2" s="1"/>
  <c r="N15" i="2" s="1"/>
  <c r="O15" i="2" s="1"/>
  <c r="P14" i="2"/>
  <c r="M14" i="2"/>
  <c r="L14" i="2"/>
  <c r="E14" i="2"/>
  <c r="J14" i="2" s="1"/>
  <c r="N14" i="2" s="1"/>
  <c r="O14" i="2" s="1"/>
  <c r="AA13" i="2"/>
  <c r="P13" i="2"/>
  <c r="M13" i="2"/>
  <c r="L13" i="2"/>
  <c r="E13" i="2"/>
  <c r="J13" i="2" s="1"/>
  <c r="N13" i="2" s="1"/>
  <c r="O13" i="2" s="1"/>
  <c r="AA12" i="2"/>
  <c r="P12" i="2"/>
  <c r="X12" i="2" s="1"/>
  <c r="M12" i="2"/>
  <c r="L12" i="2"/>
  <c r="F12" i="2"/>
  <c r="J12" i="2" s="1"/>
  <c r="N12" i="2" s="1"/>
  <c r="O12" i="2" s="1"/>
  <c r="P11" i="2"/>
  <c r="AA11" i="2" s="1"/>
  <c r="M11" i="2"/>
  <c r="L11" i="2"/>
  <c r="F11" i="2"/>
  <c r="J11" i="2" s="1"/>
  <c r="N11" i="2" s="1"/>
  <c r="O11" i="2" s="1"/>
  <c r="P10" i="2"/>
  <c r="M10" i="2"/>
  <c r="L10" i="2"/>
  <c r="E10" i="2"/>
  <c r="J10" i="2" s="1"/>
  <c r="N10" i="2" s="1"/>
  <c r="O10" i="2" s="1"/>
  <c r="P9" i="2"/>
  <c r="U9" i="2" s="1"/>
  <c r="M9" i="2"/>
  <c r="L9" i="2"/>
  <c r="E9" i="2"/>
  <c r="J9" i="2" s="1"/>
  <c r="N9" i="2" s="1"/>
  <c r="O9" i="2" s="1"/>
  <c r="P8" i="2"/>
  <c r="X8" i="2" s="1"/>
  <c r="M8" i="2"/>
  <c r="L8" i="2"/>
  <c r="F8" i="2"/>
  <c r="J8" i="2" s="1"/>
  <c r="N8" i="2" s="1"/>
  <c r="O8" i="2" s="1"/>
  <c r="P7" i="2"/>
  <c r="M7" i="2"/>
  <c r="L7" i="2"/>
  <c r="E7" i="2"/>
  <c r="J7" i="2" s="1"/>
  <c r="N7" i="2" s="1"/>
  <c r="O7" i="2" s="1"/>
  <c r="P6" i="2"/>
  <c r="M6" i="2"/>
  <c r="L6" i="2"/>
  <c r="E6" i="2"/>
  <c r="J6" i="2" s="1"/>
  <c r="N6" i="2" s="1"/>
  <c r="O6" i="2" s="1"/>
  <c r="P5" i="2"/>
  <c r="U5" i="2" s="1"/>
  <c r="M5" i="2"/>
  <c r="L5" i="2"/>
  <c r="F5" i="2"/>
  <c r="J5" i="2" s="1"/>
  <c r="N5" i="2" s="1"/>
  <c r="O5" i="2" s="1"/>
  <c r="P4" i="2"/>
  <c r="X4" i="2" s="1"/>
  <c r="M4" i="2"/>
  <c r="L4" i="2"/>
  <c r="E4" i="2"/>
  <c r="J4" i="2" s="1"/>
  <c r="N4" i="2" s="1"/>
  <c r="O4" i="2" s="1"/>
  <c r="P3" i="2"/>
  <c r="M3" i="2"/>
  <c r="L3" i="2"/>
  <c r="E3" i="2"/>
  <c r="J3" i="2" s="1"/>
  <c r="N3" i="2" s="1"/>
  <c r="O3" i="2" s="1"/>
  <c r="X403" i="2" l="1"/>
  <c r="U403" i="2"/>
  <c r="U211" i="2"/>
  <c r="X211" i="2"/>
  <c r="U122" i="2"/>
  <c r="V122" i="2" s="1"/>
  <c r="X122" i="2"/>
  <c r="Q93" i="2"/>
  <c r="AA93" i="2" s="1"/>
  <c r="Z93" i="2"/>
  <c r="X93" i="2"/>
  <c r="X28" i="2"/>
  <c r="Z28" i="2"/>
  <c r="Z425" i="2"/>
  <c r="Y455" i="2"/>
  <c r="Y345" i="2"/>
  <c r="X445" i="2"/>
  <c r="Z122" i="2"/>
  <c r="Q160" i="2"/>
  <c r="AA160" i="2" s="1"/>
  <c r="Q108" i="2"/>
  <c r="AA108" i="2" s="1"/>
  <c r="Q167" i="2"/>
  <c r="AA167" i="2" s="1"/>
  <c r="Z142" i="2"/>
  <c r="X108" i="2"/>
  <c r="X134" i="2"/>
  <c r="Z150" i="2"/>
  <c r="W170" i="2"/>
  <c r="Y326" i="2"/>
  <c r="U28" i="2"/>
  <c r="Z170" i="2"/>
  <c r="Y281" i="2"/>
  <c r="Z421" i="2"/>
  <c r="X9" i="2"/>
  <c r="Z68" i="2"/>
  <c r="X160" i="2"/>
  <c r="AA137" i="2"/>
  <c r="X424" i="2"/>
  <c r="U92" i="2"/>
  <c r="U228" i="2"/>
  <c r="Y236" i="2"/>
  <c r="Y376" i="2"/>
  <c r="Y400" i="2"/>
  <c r="Y462" i="2"/>
  <c r="Y92" i="2"/>
  <c r="V188" i="2"/>
  <c r="Z81" i="2"/>
  <c r="Z92" i="2"/>
  <c r="X124" i="2"/>
  <c r="X126" i="2"/>
  <c r="Q131" i="2"/>
  <c r="Z146" i="2"/>
  <c r="U196" i="2"/>
  <c r="W196" i="2" s="1"/>
  <c r="X379" i="2"/>
  <c r="Q100" i="2"/>
  <c r="X107" i="2"/>
  <c r="U121" i="2"/>
  <c r="Q127" i="2"/>
  <c r="AA127" i="2" s="1"/>
  <c r="X131" i="2"/>
  <c r="Z133" i="2"/>
  <c r="W142" i="2"/>
  <c r="U100" i="2"/>
  <c r="Y131" i="2"/>
  <c r="Z8" i="2"/>
  <c r="Y16" i="2"/>
  <c r="X85" i="2"/>
  <c r="X100" i="2"/>
  <c r="W158" i="2"/>
  <c r="X162" i="2"/>
  <c r="U216" i="2"/>
  <c r="W216" i="2" s="1"/>
  <c r="Y241" i="2"/>
  <c r="Q317" i="2"/>
  <c r="AA317" i="2" s="1"/>
  <c r="U443" i="2"/>
  <c r="Z16" i="2"/>
  <c r="Y41" i="2"/>
  <c r="Z85" i="2"/>
  <c r="X158" i="2"/>
  <c r="Z162" i="2"/>
  <c r="Y219" i="2"/>
  <c r="Q310" i="2"/>
  <c r="AA310" i="2" s="1"/>
  <c r="X317" i="2"/>
  <c r="Z413" i="2"/>
  <c r="Q425" i="2"/>
  <c r="AA425" i="2" s="1"/>
  <c r="Y317" i="2"/>
  <c r="X49" i="2"/>
  <c r="U115" i="2"/>
  <c r="Q128" i="2"/>
  <c r="AA128" i="2" s="1"/>
  <c r="X130" i="2"/>
  <c r="U147" i="2"/>
  <c r="Y211" i="2"/>
  <c r="Q289" i="2"/>
  <c r="AA289" i="2" s="1"/>
  <c r="Q298" i="2"/>
  <c r="Z317" i="2"/>
  <c r="Z36" i="2"/>
  <c r="U52" i="2"/>
  <c r="Z60" i="2"/>
  <c r="X99" i="2"/>
  <c r="X115" i="2"/>
  <c r="U128" i="2"/>
  <c r="Y289" i="2"/>
  <c r="X433" i="2"/>
  <c r="Z52" i="2"/>
  <c r="Z265" i="2"/>
  <c r="Z289" i="2"/>
  <c r="Q294" i="2"/>
  <c r="AA294" i="2" s="1"/>
  <c r="Q395" i="2"/>
  <c r="AA395" i="2" s="1"/>
  <c r="Z433" i="2"/>
  <c r="X444" i="2"/>
  <c r="Q171" i="2"/>
  <c r="AA171" i="2" s="1"/>
  <c r="Q424" i="2"/>
  <c r="AA424" i="2" s="1"/>
  <c r="U171" i="2"/>
  <c r="Q455" i="2"/>
  <c r="AA455" i="2" s="1"/>
  <c r="Y89" i="2"/>
  <c r="Z113" i="2"/>
  <c r="X152" i="2"/>
  <c r="Q163" i="2"/>
  <c r="U167" i="2"/>
  <c r="Y188" i="2"/>
  <c r="Q247" i="2"/>
  <c r="AA247" i="2" s="1"/>
  <c r="Z281" i="2"/>
  <c r="Z297" i="2"/>
  <c r="Q301" i="2"/>
  <c r="AA301" i="2" s="1"/>
  <c r="X358" i="2"/>
  <c r="Q401" i="2"/>
  <c r="AA401" i="2" s="1"/>
  <c r="U412" i="2"/>
  <c r="Y437" i="2"/>
  <c r="Y444" i="2"/>
  <c r="U469" i="2"/>
  <c r="Z152" i="2"/>
  <c r="Y301" i="2"/>
  <c r="Y358" i="2"/>
  <c r="Y366" i="2"/>
  <c r="X371" i="2"/>
  <c r="Y381" i="2"/>
  <c r="Y401" i="2"/>
  <c r="X412" i="2"/>
  <c r="U421" i="2"/>
  <c r="Z437" i="2"/>
  <c r="Z469" i="2"/>
  <c r="Z301" i="2"/>
  <c r="Z401" i="2"/>
  <c r="AA437" i="2"/>
  <c r="Y17" i="2"/>
  <c r="Y28" i="2"/>
  <c r="Y52" i="2"/>
  <c r="Y68" i="2"/>
  <c r="Z126" i="2"/>
  <c r="Q136" i="2"/>
  <c r="AA136" i="2" s="1"/>
  <c r="X142" i="2"/>
  <c r="W154" i="2"/>
  <c r="Z158" i="2"/>
  <c r="U160" i="2"/>
  <c r="Y181" i="2"/>
  <c r="Y216" i="2"/>
  <c r="Y232" i="2"/>
  <c r="X306" i="2"/>
  <c r="Y313" i="2"/>
  <c r="Y77" i="2"/>
  <c r="Z377" i="2"/>
  <c r="Y8" i="2"/>
  <c r="U88" i="2"/>
  <c r="X119" i="2"/>
  <c r="AA121" i="2"/>
  <c r="Q141" i="2"/>
  <c r="AA141" i="2" s="1"/>
  <c r="U149" i="2"/>
  <c r="Q153" i="2"/>
  <c r="AA153" i="2" s="1"/>
  <c r="Q168" i="2"/>
  <c r="AA168" i="2" s="1"/>
  <c r="Z171" i="2"/>
  <c r="Y203" i="2"/>
  <c r="Y228" i="2"/>
  <c r="Z261" i="2"/>
  <c r="Q263" i="2"/>
  <c r="Y298" i="2"/>
  <c r="X302" i="2"/>
  <c r="Y362" i="2"/>
  <c r="Y370" i="2"/>
  <c r="U396" i="2"/>
  <c r="Z398" i="2"/>
  <c r="U409" i="2"/>
  <c r="W409" i="2" s="1"/>
  <c r="Z424" i="2"/>
  <c r="U453" i="2"/>
  <c r="Z141" i="2"/>
  <c r="Z149" i="2"/>
  <c r="U153" i="2"/>
  <c r="Y409" i="2"/>
  <c r="Q413" i="2"/>
  <c r="AA413" i="2" s="1"/>
  <c r="Z453" i="2"/>
  <c r="Y53" i="2"/>
  <c r="U64" i="2"/>
  <c r="U131" i="2"/>
  <c r="V131" i="2" s="1"/>
  <c r="Z137" i="2"/>
  <c r="Z153" i="2"/>
  <c r="Q159" i="2"/>
  <c r="AA159" i="2" s="1"/>
  <c r="X170" i="2"/>
  <c r="X223" i="2"/>
  <c r="Z385" i="2"/>
  <c r="Z64" i="2"/>
  <c r="X418" i="2"/>
  <c r="Y466" i="2"/>
  <c r="Y49" i="2"/>
  <c r="Y64" i="2"/>
  <c r="Z77" i="2"/>
  <c r="Y85" i="2"/>
  <c r="Z89" i="2"/>
  <c r="Y119" i="2"/>
  <c r="Z121" i="2"/>
  <c r="Z130" i="2"/>
  <c r="U141" i="2"/>
  <c r="Y160" i="2"/>
  <c r="Q165" i="2"/>
  <c r="AA165" i="2" s="1"/>
  <c r="X171" i="2"/>
  <c r="Q173" i="2"/>
  <c r="AA173" i="2" s="1"/>
  <c r="U180" i="2"/>
  <c r="Y199" i="2"/>
  <c r="U212" i="2"/>
  <c r="X235" i="2"/>
  <c r="Q293" i="2"/>
  <c r="Y329" i="2"/>
  <c r="Q389" i="2"/>
  <c r="AA389" i="2" s="1"/>
  <c r="Y433" i="2"/>
  <c r="X435" i="2"/>
  <c r="Q439" i="2"/>
  <c r="AA439" i="2" s="1"/>
  <c r="X443" i="2"/>
  <c r="U467" i="2"/>
  <c r="U471" i="2"/>
  <c r="U475" i="2"/>
  <c r="X180" i="2"/>
  <c r="X212" i="2"/>
  <c r="Y235" i="2"/>
  <c r="Y293" i="2"/>
  <c r="V389" i="2"/>
  <c r="Y435" i="2"/>
  <c r="X439" i="2"/>
  <c r="X29" i="2"/>
  <c r="AA64" i="2"/>
  <c r="Q140" i="2"/>
  <c r="AA140" i="2" s="1"/>
  <c r="Z165" i="2"/>
  <c r="Q179" i="2"/>
  <c r="AA179" i="2" s="1"/>
  <c r="Y180" i="2"/>
  <c r="X220" i="2"/>
  <c r="Y285" i="2"/>
  <c r="Z293" i="2"/>
  <c r="Y322" i="2"/>
  <c r="U327" i="2"/>
  <c r="U351" i="2"/>
  <c r="Y389" i="2"/>
  <c r="Q393" i="2"/>
  <c r="AA393" i="2" s="1"/>
  <c r="Z409" i="2"/>
  <c r="X414" i="2"/>
  <c r="Q416" i="2"/>
  <c r="AA416" i="2" s="1"/>
  <c r="AA433" i="2"/>
  <c r="Q459" i="2"/>
  <c r="AA459" i="2" s="1"/>
  <c r="X467" i="2"/>
  <c r="X469" i="2"/>
  <c r="X475" i="2"/>
  <c r="U140" i="2"/>
  <c r="U179" i="2"/>
  <c r="Z180" i="2"/>
  <c r="Z285" i="2"/>
  <c r="Z389" i="2"/>
  <c r="Z414" i="2"/>
  <c r="U416" i="2"/>
  <c r="W416" i="2" s="1"/>
  <c r="U459" i="2"/>
  <c r="Y467" i="2"/>
  <c r="Y475" i="2"/>
  <c r="Y57" i="2"/>
  <c r="Y88" i="2"/>
  <c r="Y97" i="2"/>
  <c r="U127" i="2"/>
  <c r="V127" i="2" s="1"/>
  <c r="Z134" i="2"/>
  <c r="Z138" i="2"/>
  <c r="X140" i="2"/>
  <c r="Q143" i="2"/>
  <c r="AA143" i="2" s="1"/>
  <c r="Z145" i="2"/>
  <c r="X154" i="2"/>
  <c r="Q156" i="2"/>
  <c r="Q164" i="2"/>
  <c r="AA164" i="2" s="1"/>
  <c r="X167" i="2"/>
  <c r="X179" i="2"/>
  <c r="Y223" i="2"/>
  <c r="X310" i="2"/>
  <c r="X314" i="2"/>
  <c r="U320" i="2"/>
  <c r="V320" i="2" s="1"/>
  <c r="Y325" i="2"/>
  <c r="X338" i="2"/>
  <c r="X354" i="2"/>
  <c r="AA369" i="2"/>
  <c r="Q404" i="2"/>
  <c r="AA404" i="2" s="1"/>
  <c r="U413" i="2"/>
  <c r="X416" i="2"/>
  <c r="Z418" i="2"/>
  <c r="U425" i="2"/>
  <c r="U455" i="2"/>
  <c r="U461" i="2"/>
  <c r="U474" i="2"/>
  <c r="Y29" i="2"/>
  <c r="U12" i="2"/>
  <c r="W12" i="2" s="1"/>
  <c r="Y12" i="2"/>
  <c r="Z57" i="2"/>
  <c r="Z73" i="2"/>
  <c r="Z88" i="2"/>
  <c r="Q149" i="2"/>
  <c r="AA149" i="2" s="1"/>
  <c r="Z154" i="2"/>
  <c r="U156" i="2"/>
  <c r="Z167" i="2"/>
  <c r="Q176" i="2"/>
  <c r="AA176" i="2" s="1"/>
  <c r="Y179" i="2"/>
  <c r="Y310" i="2"/>
  <c r="Y320" i="2"/>
  <c r="Y354" i="2"/>
  <c r="U404" i="2"/>
  <c r="X459" i="2"/>
  <c r="Z461" i="2"/>
  <c r="U165" i="2"/>
  <c r="Z12" i="2"/>
  <c r="X156" i="2"/>
  <c r="Q161" i="2"/>
  <c r="X236" i="2"/>
  <c r="Q306" i="2"/>
  <c r="AA306" i="2" s="1"/>
  <c r="X362" i="2"/>
  <c r="X367" i="2"/>
  <c r="U401" i="2"/>
  <c r="X404" i="2"/>
  <c r="Z406" i="2"/>
  <c r="Y413" i="2"/>
  <c r="X422" i="2"/>
  <c r="U424" i="2"/>
  <c r="Y425" i="2"/>
  <c r="Y438" i="2"/>
  <c r="U440" i="2"/>
  <c r="V444" i="2"/>
  <c r="X455" i="2"/>
  <c r="Y459" i="2"/>
  <c r="U466" i="2"/>
  <c r="X474" i="2"/>
  <c r="Z156" i="2"/>
  <c r="Z422" i="2"/>
  <c r="X440" i="2"/>
  <c r="Y474" i="2"/>
  <c r="Y36" i="2"/>
  <c r="X41" i="2"/>
  <c r="X53" i="2"/>
  <c r="U93" i="2"/>
  <c r="X203" i="2"/>
  <c r="Y265" i="2"/>
  <c r="Q302" i="2"/>
  <c r="AA302" i="2" s="1"/>
  <c r="Y306" i="2"/>
  <c r="Q379" i="2"/>
  <c r="AA379" i="2" s="1"/>
  <c r="Z410" i="2"/>
  <c r="Q421" i="2"/>
  <c r="AA421" i="2" s="1"/>
  <c r="X77" i="2"/>
  <c r="X89" i="2"/>
  <c r="Y93" i="2"/>
  <c r="U119" i="2"/>
  <c r="V119" i="2" s="1"/>
  <c r="X146" i="2"/>
  <c r="X188" i="2"/>
  <c r="X196" i="2"/>
  <c r="U232" i="2"/>
  <c r="Y302" i="2"/>
  <c r="Z379" i="2"/>
  <c r="X398" i="2"/>
  <c r="U400" i="2"/>
  <c r="Q409" i="2"/>
  <c r="AA409" i="2" s="1"/>
  <c r="Y421" i="2"/>
  <c r="U433" i="2"/>
  <c r="W433" i="2" s="1"/>
  <c r="Q443" i="2"/>
  <c r="AA443" i="2" s="1"/>
  <c r="V387" i="2"/>
  <c r="W387" i="2"/>
  <c r="W192" i="2"/>
  <c r="V192" i="2"/>
  <c r="W367" i="2"/>
  <c r="V367" i="2"/>
  <c r="X392" i="2"/>
  <c r="U392" i="2"/>
  <c r="Q392" i="2"/>
  <c r="AA392" i="2" s="1"/>
  <c r="X21" i="2"/>
  <c r="U56" i="2"/>
  <c r="W56" i="2" s="1"/>
  <c r="U84" i="2"/>
  <c r="U96" i="2"/>
  <c r="W96" i="2" s="1"/>
  <c r="Z97" i="2"/>
  <c r="U125" i="2"/>
  <c r="Q135" i="2"/>
  <c r="AA135" i="2" s="1"/>
  <c r="Q144" i="2"/>
  <c r="AA144" i="2" s="1"/>
  <c r="Y147" i="2"/>
  <c r="X147" i="2"/>
  <c r="Z147" i="2"/>
  <c r="Q157" i="2"/>
  <c r="AA157" i="2" s="1"/>
  <c r="Y163" i="2"/>
  <c r="U163" i="2"/>
  <c r="X163" i="2"/>
  <c r="X175" i="2"/>
  <c r="W178" i="2"/>
  <c r="U224" i="2"/>
  <c r="U249" i="2"/>
  <c r="Z249" i="2"/>
  <c r="Y249" i="2"/>
  <c r="Y266" i="2"/>
  <c r="Q270" i="2"/>
  <c r="AA270" i="2" s="1"/>
  <c r="W320" i="2"/>
  <c r="Y337" i="2"/>
  <c r="V339" i="2"/>
  <c r="Y374" i="2"/>
  <c r="W376" i="2"/>
  <c r="Z381" i="2"/>
  <c r="Y392" i="2"/>
  <c r="Q397" i="2"/>
  <c r="AA397" i="2" s="1"/>
  <c r="V463" i="2"/>
  <c r="U120" i="2"/>
  <c r="Q120" i="2"/>
  <c r="AA120" i="2" s="1"/>
  <c r="X120" i="2"/>
  <c r="Y96" i="2"/>
  <c r="U157" i="2"/>
  <c r="Y175" i="2"/>
  <c r="Z178" i="2"/>
  <c r="X224" i="2"/>
  <c r="Y270" i="2"/>
  <c r="Z374" i="2"/>
  <c r="Y390" i="2"/>
  <c r="Z390" i="2"/>
  <c r="X390" i="2"/>
  <c r="Y397" i="2"/>
  <c r="U436" i="2"/>
  <c r="Y436" i="2"/>
  <c r="X436" i="2"/>
  <c r="Y84" i="2"/>
  <c r="Y101" i="2"/>
  <c r="Z101" i="2"/>
  <c r="Z56" i="2"/>
  <c r="Z96" i="2"/>
  <c r="U101" i="2"/>
  <c r="X110" i="2"/>
  <c r="AA115" i="2"/>
  <c r="X144" i="2"/>
  <c r="Z157" i="2"/>
  <c r="W166" i="2"/>
  <c r="U208" i="2"/>
  <c r="X215" i="2"/>
  <c r="X231" i="2"/>
  <c r="U245" i="2"/>
  <c r="V245" i="2" s="1"/>
  <c r="Z245" i="2"/>
  <c r="Y245" i="2"/>
  <c r="U277" i="2"/>
  <c r="Y277" i="2"/>
  <c r="Q277" i="2"/>
  <c r="AA277" i="2" s="1"/>
  <c r="Z277" i="2"/>
  <c r="Q314" i="2"/>
  <c r="AA314" i="2" s="1"/>
  <c r="U347" i="2"/>
  <c r="X347" i="2"/>
  <c r="X373" i="2"/>
  <c r="Z378" i="2"/>
  <c r="X380" i="2"/>
  <c r="Y380" i="2"/>
  <c r="Z397" i="2"/>
  <c r="X405" i="2"/>
  <c r="U405" i="2"/>
  <c r="Z405" i="2"/>
  <c r="Y405" i="2"/>
  <c r="X349" i="2"/>
  <c r="Y349" i="2"/>
  <c r="Y56" i="2"/>
  <c r="Z103" i="2"/>
  <c r="U103" i="2"/>
  <c r="Q103" i="2"/>
  <c r="AA103" i="2" s="1"/>
  <c r="X103" i="2"/>
  <c r="U144" i="2"/>
  <c r="X45" i="2"/>
  <c r="Y117" i="2"/>
  <c r="Z117" i="2"/>
  <c r="U117" i="2"/>
  <c r="W117" i="2" s="1"/>
  <c r="AA117" i="2"/>
  <c r="Q124" i="2"/>
  <c r="X132" i="2"/>
  <c r="U132" i="2"/>
  <c r="Y132" i="2"/>
  <c r="Q152" i="2"/>
  <c r="AA152" i="2" s="1"/>
  <c r="X166" i="2"/>
  <c r="Y169" i="2"/>
  <c r="Z169" i="2"/>
  <c r="U172" i="2"/>
  <c r="W172" i="2" s="1"/>
  <c r="Q172" i="2"/>
  <c r="AA172" i="2" s="1"/>
  <c r="X172" i="2"/>
  <c r="Y177" i="2"/>
  <c r="Z177" i="2"/>
  <c r="X208" i="2"/>
  <c r="Y215" i="2"/>
  <c r="X227" i="2"/>
  <c r="Y231" i="2"/>
  <c r="Q245" i="2"/>
  <c r="AA245" i="2" s="1"/>
  <c r="Q261" i="2"/>
  <c r="AA261" i="2" s="1"/>
  <c r="U273" i="2"/>
  <c r="V273" i="2" s="1"/>
  <c r="Z273" i="2"/>
  <c r="Y273" i="2"/>
  <c r="Q297" i="2"/>
  <c r="U314" i="2"/>
  <c r="Q373" i="2"/>
  <c r="AA373" i="2" s="1"/>
  <c r="Q380" i="2"/>
  <c r="AA380" i="2" s="1"/>
  <c r="X384" i="2"/>
  <c r="U384" i="2"/>
  <c r="Y384" i="2"/>
  <c r="X394" i="2"/>
  <c r="Y396" i="2"/>
  <c r="Q405" i="2"/>
  <c r="AA405" i="2" s="1"/>
  <c r="Q420" i="2"/>
  <c r="AA420" i="2" s="1"/>
  <c r="X450" i="2"/>
  <c r="X135" i="2"/>
  <c r="Y135" i="2"/>
  <c r="Y21" i="2"/>
  <c r="AA112" i="2"/>
  <c r="Z125" i="2"/>
  <c r="U135" i="2"/>
  <c r="X5" i="2"/>
  <c r="U33" i="2"/>
  <c r="Y33" i="2"/>
  <c r="X33" i="2"/>
  <c r="X80" i="2"/>
  <c r="Z80" i="2"/>
  <c r="Z84" i="2"/>
  <c r="Y5" i="2"/>
  <c r="X24" i="2"/>
  <c r="Z24" i="2"/>
  <c r="Y24" i="2"/>
  <c r="U61" i="2"/>
  <c r="Y61" i="2"/>
  <c r="X61" i="2"/>
  <c r="Z61" i="2"/>
  <c r="X73" i="2"/>
  <c r="U105" i="2"/>
  <c r="W105" i="2" s="1"/>
  <c r="Q107" i="2"/>
  <c r="AA107" i="2" s="1"/>
  <c r="Z110" i="2"/>
  <c r="U112" i="2"/>
  <c r="U8" i="2"/>
  <c r="X17" i="2"/>
  <c r="U24" i="2"/>
  <c r="Y45" i="2"/>
  <c r="Y73" i="2"/>
  <c r="Y80" i="2"/>
  <c r="Z105" i="2"/>
  <c r="U107" i="2"/>
  <c r="V107" i="2" s="1"/>
  <c r="X112" i="2"/>
  <c r="U124" i="2"/>
  <c r="X127" i="2"/>
  <c r="Y129" i="2"/>
  <c r="Z129" i="2"/>
  <c r="Q132" i="2"/>
  <c r="AA132" i="2" s="1"/>
  <c r="U137" i="2"/>
  <c r="Y143" i="2"/>
  <c r="X143" i="2"/>
  <c r="Z143" i="2"/>
  <c r="U152" i="2"/>
  <c r="W152" i="2" s="1"/>
  <c r="Y159" i="2"/>
  <c r="U159" i="2"/>
  <c r="X159" i="2"/>
  <c r="Z166" i="2"/>
  <c r="Q169" i="2"/>
  <c r="AA169" i="2" s="1"/>
  <c r="Y172" i="2"/>
  <c r="Q177" i="2"/>
  <c r="U220" i="2"/>
  <c r="Y227" i="2"/>
  <c r="Y261" i="2"/>
  <c r="Q265" i="2"/>
  <c r="Q273" i="2"/>
  <c r="AA273" i="2" s="1"/>
  <c r="Y297" i="2"/>
  <c r="Y369" i="2"/>
  <c r="U371" i="2"/>
  <c r="U373" i="2"/>
  <c r="U380" i="2"/>
  <c r="Q384" i="2"/>
  <c r="AA384" i="2" s="1"/>
  <c r="Z394" i="2"/>
  <c r="Q396" i="2"/>
  <c r="AA396" i="2" s="1"/>
  <c r="X410" i="2"/>
  <c r="Q412" i="2"/>
  <c r="AA412" i="2" s="1"/>
  <c r="U420" i="2"/>
  <c r="W420" i="2" s="1"/>
  <c r="Y450" i="2"/>
  <c r="Y458" i="2"/>
  <c r="U458" i="2"/>
  <c r="X76" i="2"/>
  <c r="Z76" i="2"/>
  <c r="Y76" i="2"/>
  <c r="Y139" i="2"/>
  <c r="Z139" i="2"/>
  <c r="X139" i="2"/>
  <c r="U269" i="2"/>
  <c r="Z269" i="2"/>
  <c r="X321" i="2"/>
  <c r="Y321" i="2"/>
  <c r="Z375" i="2"/>
  <c r="Y375" i="2"/>
  <c r="Y402" i="2"/>
  <c r="Z402" i="2"/>
  <c r="X402" i="2"/>
  <c r="U428" i="2"/>
  <c r="Y428" i="2"/>
  <c r="X428" i="2"/>
  <c r="Q470" i="2"/>
  <c r="AA470" i="2" s="1"/>
  <c r="X470" i="2"/>
  <c r="Y470" i="2"/>
  <c r="U470" i="2"/>
  <c r="U109" i="2"/>
  <c r="Q139" i="2"/>
  <c r="AA139" i="2" s="1"/>
  <c r="V143" i="2"/>
  <c r="W143" i="2"/>
  <c r="Y155" i="2"/>
  <c r="X155" i="2"/>
  <c r="Z155" i="2"/>
  <c r="Z174" i="2"/>
  <c r="V181" i="2"/>
  <c r="U200" i="2"/>
  <c r="U257" i="2"/>
  <c r="V257" i="2" s="1"/>
  <c r="Z257" i="2"/>
  <c r="Q267" i="2"/>
  <c r="AA267" i="2" s="1"/>
  <c r="Q269" i="2"/>
  <c r="AA269" i="2" s="1"/>
  <c r="Z271" i="2"/>
  <c r="Q271" i="2"/>
  <c r="Q286" i="2"/>
  <c r="AA286" i="2" s="1"/>
  <c r="Q305" i="2"/>
  <c r="AA305" i="2" s="1"/>
  <c r="Q309" i="2"/>
  <c r="AA309" i="2" s="1"/>
  <c r="U363" i="2"/>
  <c r="Y365" i="2"/>
  <c r="X375" i="2"/>
  <c r="U393" i="2"/>
  <c r="Z393" i="2"/>
  <c r="Y420" i="2"/>
  <c r="X20" i="2"/>
  <c r="Z20" i="2"/>
  <c r="Y20" i="2"/>
  <c r="U76" i="2"/>
  <c r="X69" i="2"/>
  <c r="U97" i="2"/>
  <c r="Q104" i="2"/>
  <c r="Z109" i="2"/>
  <c r="Z111" i="2"/>
  <c r="U111" i="2"/>
  <c r="X111" i="2"/>
  <c r="Z123" i="2"/>
  <c r="U123" i="2"/>
  <c r="X123" i="2"/>
  <c r="U139" i="2"/>
  <c r="Q148" i="2"/>
  <c r="AA148" i="2" s="1"/>
  <c r="Y151" i="2"/>
  <c r="Z151" i="2"/>
  <c r="X151" i="2"/>
  <c r="Q155" i="2"/>
  <c r="AA155" i="2" s="1"/>
  <c r="Z164" i="2"/>
  <c r="Y164" i="2"/>
  <c r="X168" i="2"/>
  <c r="U168" i="2"/>
  <c r="Y168" i="2"/>
  <c r="X176" i="2"/>
  <c r="U176" i="2"/>
  <c r="Y176" i="2"/>
  <c r="U204" i="2"/>
  <c r="W204" i="2" s="1"/>
  <c r="Q257" i="2"/>
  <c r="AA257" i="2" s="1"/>
  <c r="Y269" i="2"/>
  <c r="Q278" i="2"/>
  <c r="AA278" i="2" s="1"/>
  <c r="Q282" i="2"/>
  <c r="AA282" i="2" s="1"/>
  <c r="Y286" i="2"/>
  <c r="Y305" i="2"/>
  <c r="Y309" i="2"/>
  <c r="U313" i="2"/>
  <c r="Z313" i="2"/>
  <c r="Y314" i="2"/>
  <c r="U343" i="2"/>
  <c r="W343" i="2" s="1"/>
  <c r="U355" i="2"/>
  <c r="Y357" i="2"/>
  <c r="U359" i="2"/>
  <c r="Y361" i="2"/>
  <c r="Z373" i="2"/>
  <c r="Q388" i="2"/>
  <c r="AA388" i="2" s="1"/>
  <c r="U391" i="2"/>
  <c r="V391" i="2" s="1"/>
  <c r="X417" i="2"/>
  <c r="Z417" i="2"/>
  <c r="Y417" i="2"/>
  <c r="Y426" i="2"/>
  <c r="Z426" i="2"/>
  <c r="X426" i="2"/>
  <c r="U65" i="2"/>
  <c r="V65" i="2" s="1"/>
  <c r="Z65" i="2"/>
  <c r="Y65" i="2"/>
  <c r="Y192" i="2"/>
  <c r="X192" i="2"/>
  <c r="X102" i="2"/>
  <c r="U104" i="2"/>
  <c r="AA109" i="2"/>
  <c r="Q111" i="2"/>
  <c r="AA111" i="2" s="1"/>
  <c r="Q116" i="2"/>
  <c r="AA116" i="2" s="1"/>
  <c r="U148" i="2"/>
  <c r="W148" i="2" s="1"/>
  <c r="Q151" i="2"/>
  <c r="AA151" i="2" s="1"/>
  <c r="U155" i="2"/>
  <c r="X200" i="2"/>
  <c r="X204" i="2"/>
  <c r="Y257" i="2"/>
  <c r="AA274" i="2"/>
  <c r="Y278" i="2"/>
  <c r="Y282" i="2"/>
  <c r="Q290" i="2"/>
  <c r="AA290" i="2" s="1"/>
  <c r="Z305" i="2"/>
  <c r="Z309" i="2"/>
  <c r="Y318" i="2"/>
  <c r="U318" i="2"/>
  <c r="Q318" i="2"/>
  <c r="AA318" i="2" s="1"/>
  <c r="V331" i="2"/>
  <c r="Y353" i="2"/>
  <c r="AA357" i="2"/>
  <c r="U388" i="2"/>
  <c r="Y408" i="2"/>
  <c r="Q417" i="2"/>
  <c r="AA417" i="2" s="1"/>
  <c r="Z447" i="2"/>
  <c r="Y447" i="2"/>
  <c r="Z451" i="2"/>
  <c r="U451" i="2"/>
  <c r="Q451" i="2"/>
  <c r="AA451" i="2" s="1"/>
  <c r="X451" i="2"/>
  <c r="X48" i="2"/>
  <c r="Z48" i="2"/>
  <c r="Y48" i="2"/>
  <c r="U32" i="2"/>
  <c r="Y69" i="2"/>
  <c r="X44" i="2"/>
  <c r="Y44" i="2"/>
  <c r="U44" i="2"/>
  <c r="Z44" i="2"/>
  <c r="U60" i="2"/>
  <c r="W60" i="2" s="1"/>
  <c r="Z69" i="2"/>
  <c r="Q99" i="2"/>
  <c r="AA99" i="2" s="1"/>
  <c r="Z102" i="2"/>
  <c r="X104" i="2"/>
  <c r="X118" i="2"/>
  <c r="U136" i="2"/>
  <c r="Q145" i="2"/>
  <c r="AA145" i="2" s="1"/>
  <c r="X148" i="2"/>
  <c r="U151" i="2"/>
  <c r="U253" i="2"/>
  <c r="Z253" i="2"/>
  <c r="Q385" i="2"/>
  <c r="AA385" i="2" s="1"/>
  <c r="Q408" i="2"/>
  <c r="AA408" i="2" s="1"/>
  <c r="U417" i="2"/>
  <c r="Q447" i="2"/>
  <c r="AA447" i="2" s="1"/>
  <c r="Z449" i="2"/>
  <c r="X449" i="2"/>
  <c r="Y451" i="2"/>
  <c r="Z463" i="2"/>
  <c r="AA463" i="2"/>
  <c r="X463" i="2"/>
  <c r="Y463" i="2"/>
  <c r="Z471" i="2"/>
  <c r="Y471" i="2"/>
  <c r="U175" i="2"/>
  <c r="Q175" i="2"/>
  <c r="U114" i="2"/>
  <c r="Z114" i="2"/>
  <c r="X114" i="2"/>
  <c r="U20" i="2"/>
  <c r="U13" i="2"/>
  <c r="Y13" i="2"/>
  <c r="X13" i="2"/>
  <c r="X25" i="2"/>
  <c r="Y32" i="2"/>
  <c r="X37" i="2"/>
  <c r="X72" i="2"/>
  <c r="Y72" i="2"/>
  <c r="U72" i="2"/>
  <c r="Z72" i="2"/>
  <c r="X81" i="2"/>
  <c r="U106" i="2"/>
  <c r="Z106" i="2"/>
  <c r="U116" i="2"/>
  <c r="U161" i="2"/>
  <c r="Y200" i="2"/>
  <c r="U207" i="2"/>
  <c r="Y207" i="2"/>
  <c r="X207" i="2"/>
  <c r="Y25" i="2"/>
  <c r="Z32" i="2"/>
  <c r="Y37" i="2"/>
  <c r="X40" i="2"/>
  <c r="Z40" i="2"/>
  <c r="Y40" i="2"/>
  <c r="Y60" i="2"/>
  <c r="AA72" i="2"/>
  <c r="Y81" i="2"/>
  <c r="X97" i="2"/>
  <c r="U99" i="2"/>
  <c r="W99" i="2" s="1"/>
  <c r="X106" i="2"/>
  <c r="U113" i="2"/>
  <c r="W113" i="2" s="1"/>
  <c r="Q115" i="2"/>
  <c r="Z118" i="2"/>
  <c r="U133" i="2"/>
  <c r="X136" i="2"/>
  <c r="U145" i="2"/>
  <c r="Z161" i="2"/>
  <c r="X164" i="2"/>
  <c r="Y173" i="2"/>
  <c r="Z173" i="2"/>
  <c r="V196" i="2"/>
  <c r="X219" i="2"/>
  <c r="Q253" i="2"/>
  <c r="Z255" i="2"/>
  <c r="Q255" i="2"/>
  <c r="Y274" i="2"/>
  <c r="X318" i="2"/>
  <c r="Y341" i="2"/>
  <c r="Q381" i="2"/>
  <c r="AA381" i="2" s="1"/>
  <c r="Y385" i="2"/>
  <c r="Y388" i="2"/>
  <c r="Q400" i="2"/>
  <c r="AA400" i="2" s="1"/>
  <c r="X406" i="2"/>
  <c r="U408" i="2"/>
  <c r="X429" i="2"/>
  <c r="Y443" i="2"/>
  <c r="U447" i="2"/>
  <c r="U449" i="2"/>
  <c r="Q463" i="2"/>
  <c r="Q471" i="2"/>
  <c r="AA471" i="2" s="1"/>
  <c r="Q473" i="2"/>
  <c r="AA473" i="2"/>
  <c r="Z473" i="2"/>
  <c r="X473" i="2"/>
  <c r="Y9" i="2"/>
  <c r="U16" i="2"/>
  <c r="U36" i="2"/>
  <c r="X57" i="2"/>
  <c r="U68" i="2"/>
  <c r="U89" i="2"/>
  <c r="Q119" i="2"/>
  <c r="AA119" i="2" s="1"/>
  <c r="X138" i="2"/>
  <c r="W146" i="2"/>
  <c r="X150" i="2"/>
  <c r="X199" i="2"/>
  <c r="Z465" i="2"/>
  <c r="Q467" i="2"/>
  <c r="AA467" i="2" s="1"/>
  <c r="Q475" i="2"/>
  <c r="AA475" i="2" s="1"/>
  <c r="U465" i="2"/>
  <c r="Q281" i="2"/>
  <c r="AA281" i="2" s="1"/>
  <c r="Q285" i="2"/>
  <c r="AA285" i="2" s="1"/>
  <c r="Y333" i="2"/>
  <c r="X366" i="2"/>
  <c r="X370" i="2"/>
  <c r="X465" i="2"/>
  <c r="U4" i="2"/>
  <c r="Y4" i="2"/>
  <c r="Z4" i="2"/>
  <c r="V81" i="2"/>
  <c r="W81" i="2"/>
  <c r="V25" i="2"/>
  <c r="W25" i="2"/>
  <c r="V49" i="2"/>
  <c r="W49" i="2"/>
  <c r="V77" i="2"/>
  <c r="W77" i="2"/>
  <c r="W53" i="2"/>
  <c r="V53" i="2"/>
  <c r="V5" i="2"/>
  <c r="W5" i="2"/>
  <c r="V41" i="2"/>
  <c r="W41" i="2"/>
  <c r="V29" i="2"/>
  <c r="W29" i="2"/>
  <c r="W45" i="2"/>
  <c r="V45" i="2"/>
  <c r="W73" i="2"/>
  <c r="V73" i="2"/>
  <c r="W85" i="2"/>
  <c r="V85" i="2"/>
  <c r="V17" i="2"/>
  <c r="W17" i="2"/>
  <c r="V30" i="2"/>
  <c r="W30" i="2"/>
  <c r="W37" i="2"/>
  <c r="V37" i="2"/>
  <c r="V54" i="2"/>
  <c r="W54" i="2"/>
  <c r="V69" i="2"/>
  <c r="W69" i="2"/>
  <c r="V86" i="2"/>
  <c r="W86" i="2"/>
  <c r="V21" i="2"/>
  <c r="W21" i="2"/>
  <c r="V26" i="2"/>
  <c r="W26" i="2"/>
  <c r="W9" i="2"/>
  <c r="V9" i="2"/>
  <c r="W42" i="2"/>
  <c r="V42" i="2"/>
  <c r="V57" i="2"/>
  <c r="W57" i="2"/>
  <c r="U187" i="2"/>
  <c r="Q187" i="2"/>
  <c r="AA187" i="2" s="1"/>
  <c r="Z187" i="2"/>
  <c r="Y187" i="2"/>
  <c r="W203" i="2"/>
  <c r="V203" i="2"/>
  <c r="X218" i="2"/>
  <c r="U218" i="2"/>
  <c r="Q218" i="2"/>
  <c r="AA218" i="2" s="1"/>
  <c r="Z218" i="2"/>
  <c r="Y218" i="2"/>
  <c r="U46" i="2"/>
  <c r="U50" i="2"/>
  <c r="U94" i="2"/>
  <c r="W130" i="2"/>
  <c r="W150" i="2"/>
  <c r="X187" i="2"/>
  <c r="Z201" i="2"/>
  <c r="Y201" i="2"/>
  <c r="X201" i="2"/>
  <c r="Q201" i="2"/>
  <c r="Q26" i="2"/>
  <c r="AA26" i="2" s="1"/>
  <c r="Q34" i="2"/>
  <c r="AA34" i="2" s="1"/>
  <c r="Q38" i="2"/>
  <c r="AA38" i="2" s="1"/>
  <c r="Q46" i="2"/>
  <c r="AA46" i="2" s="1"/>
  <c r="Q58" i="2"/>
  <c r="Q86" i="2"/>
  <c r="U6" i="2"/>
  <c r="U18" i="2"/>
  <c r="U22" i="2"/>
  <c r="U58" i="2"/>
  <c r="X98" i="2"/>
  <c r="W134" i="2"/>
  <c r="W162" i="2"/>
  <c r="W174" i="2"/>
  <c r="U201" i="2"/>
  <c r="W223" i="2"/>
  <c r="V223" i="2"/>
  <c r="W227" i="2"/>
  <c r="V227" i="2"/>
  <c r="Q6" i="2"/>
  <c r="AA6" i="2" s="1"/>
  <c r="Q54" i="2"/>
  <c r="Q78" i="2"/>
  <c r="AA78" i="2" s="1"/>
  <c r="U62" i="2"/>
  <c r="U82" i="2"/>
  <c r="Q3" i="2"/>
  <c r="AA3" i="2" s="1"/>
  <c r="Z5" i="2"/>
  <c r="Q7" i="2"/>
  <c r="AA7" i="2" s="1"/>
  <c r="Z9" i="2"/>
  <c r="Q11" i="2"/>
  <c r="Z13" i="2"/>
  <c r="Q15" i="2"/>
  <c r="AA15" i="2" s="1"/>
  <c r="Z17" i="2"/>
  <c r="Q19" i="2"/>
  <c r="AA19" i="2" s="1"/>
  <c r="Z21" i="2"/>
  <c r="Q23" i="2"/>
  <c r="AA23" i="2" s="1"/>
  <c r="Z25" i="2"/>
  <c r="Q27" i="2"/>
  <c r="AA27" i="2" s="1"/>
  <c r="Z29" i="2"/>
  <c r="Q31" i="2"/>
  <c r="AA31" i="2" s="1"/>
  <c r="Z33" i="2"/>
  <c r="Q35" i="2"/>
  <c r="AA35" i="2" s="1"/>
  <c r="Z37" i="2"/>
  <c r="Q39" i="2"/>
  <c r="AA39" i="2" s="1"/>
  <c r="Z41" i="2"/>
  <c r="Q43" i="2"/>
  <c r="Z45" i="2"/>
  <c r="Q47" i="2"/>
  <c r="AA47" i="2" s="1"/>
  <c r="Z49" i="2"/>
  <c r="Q51" i="2"/>
  <c r="AA51" i="2" s="1"/>
  <c r="Z53" i="2"/>
  <c r="Q55" i="2"/>
  <c r="Q59" i="2"/>
  <c r="AA59" i="2" s="1"/>
  <c r="Q63" i="2"/>
  <c r="AA63" i="2" s="1"/>
  <c r="Q67" i="2"/>
  <c r="AA67" i="2" s="1"/>
  <c r="Q71" i="2"/>
  <c r="AA71" i="2" s="1"/>
  <c r="Q75" i="2"/>
  <c r="AA75" i="2" s="1"/>
  <c r="Q79" i="2"/>
  <c r="AA79" i="2" s="1"/>
  <c r="Q83" i="2"/>
  <c r="AA83" i="2" s="1"/>
  <c r="Q87" i="2"/>
  <c r="AA87" i="2" s="1"/>
  <c r="Q91" i="2"/>
  <c r="AA91" i="2" s="1"/>
  <c r="Q95" i="2"/>
  <c r="AA95" i="2" s="1"/>
  <c r="Y98" i="2"/>
  <c r="W118" i="2"/>
  <c r="W122" i="2"/>
  <c r="W126" i="2"/>
  <c r="W237" i="2"/>
  <c r="V237" i="2"/>
  <c r="W164" i="2"/>
  <c r="V164" i="2"/>
  <c r="Q10" i="2"/>
  <c r="AA10" i="2" s="1"/>
  <c r="Q18" i="2"/>
  <c r="AA18" i="2" s="1"/>
  <c r="Q30" i="2"/>
  <c r="AA30" i="2" s="1"/>
  <c r="Q42" i="2"/>
  <c r="U38" i="2"/>
  <c r="U66" i="2"/>
  <c r="U70" i="2"/>
  <c r="U74" i="2"/>
  <c r="U3" i="2"/>
  <c r="X6" i="2"/>
  <c r="U7" i="2"/>
  <c r="X10" i="2"/>
  <c r="U11" i="2"/>
  <c r="X14" i="2"/>
  <c r="U15" i="2"/>
  <c r="X18" i="2"/>
  <c r="U19" i="2"/>
  <c r="X22" i="2"/>
  <c r="U23" i="2"/>
  <c r="X26" i="2"/>
  <c r="U27" i="2"/>
  <c r="X30" i="2"/>
  <c r="U31" i="2"/>
  <c r="X34" i="2"/>
  <c r="U35" i="2"/>
  <c r="X38" i="2"/>
  <c r="U39" i="2"/>
  <c r="X42" i="2"/>
  <c r="U43" i="2"/>
  <c r="X46" i="2"/>
  <c r="U47" i="2"/>
  <c r="X50" i="2"/>
  <c r="U51" i="2"/>
  <c r="X54" i="2"/>
  <c r="U55" i="2"/>
  <c r="X58" i="2"/>
  <c r="U59" i="2"/>
  <c r="X62" i="2"/>
  <c r="U63" i="2"/>
  <c r="X66" i="2"/>
  <c r="U67" i="2"/>
  <c r="X70" i="2"/>
  <c r="U71" i="2"/>
  <c r="X74" i="2"/>
  <c r="U75" i="2"/>
  <c r="X78" i="2"/>
  <c r="U79" i="2"/>
  <c r="X82" i="2"/>
  <c r="U83" i="2"/>
  <c r="X86" i="2"/>
  <c r="U87" i="2"/>
  <c r="X90" i="2"/>
  <c r="U91" i="2"/>
  <c r="X94" i="2"/>
  <c r="U95" i="2"/>
  <c r="Z98" i="2"/>
  <c r="W102" i="2"/>
  <c r="W110" i="2"/>
  <c r="W138" i="2"/>
  <c r="Z209" i="2"/>
  <c r="Y209" i="2"/>
  <c r="X209" i="2"/>
  <c r="Q209" i="2"/>
  <c r="AA209" i="2" s="1"/>
  <c r="U209" i="2"/>
  <c r="Q14" i="2"/>
  <c r="AA14" i="2" s="1"/>
  <c r="Q50" i="2"/>
  <c r="AA50" i="2" s="1"/>
  <c r="Q90" i="2"/>
  <c r="AA90" i="2" s="1"/>
  <c r="Q94" i="2"/>
  <c r="AA94" i="2" s="1"/>
  <c r="U34" i="2"/>
  <c r="U78" i="2"/>
  <c r="Y6" i="2"/>
  <c r="Y10" i="2"/>
  <c r="Y14" i="2"/>
  <c r="Y18" i="2"/>
  <c r="Y22" i="2"/>
  <c r="Y26" i="2"/>
  <c r="Y30" i="2"/>
  <c r="Y34" i="2"/>
  <c r="Y38" i="2"/>
  <c r="Y42" i="2"/>
  <c r="Y46" i="2"/>
  <c r="Y50" i="2"/>
  <c r="Y54" i="2"/>
  <c r="Y58" i="2"/>
  <c r="Y62" i="2"/>
  <c r="Y66" i="2"/>
  <c r="Y70" i="2"/>
  <c r="Y74" i="2"/>
  <c r="Y78" i="2"/>
  <c r="Y82" i="2"/>
  <c r="Y86" i="2"/>
  <c r="Y90" i="2"/>
  <c r="Y94" i="2"/>
  <c r="X190" i="2"/>
  <c r="U190" i="2"/>
  <c r="Q190" i="2"/>
  <c r="AA190" i="2" s="1"/>
  <c r="Z190" i="2"/>
  <c r="Y190" i="2"/>
  <c r="X198" i="2"/>
  <c r="U198" i="2"/>
  <c r="Q198" i="2"/>
  <c r="AA198" i="2" s="1"/>
  <c r="Z198" i="2"/>
  <c r="Y198" i="2"/>
  <c r="X206" i="2"/>
  <c r="U206" i="2"/>
  <c r="Q206" i="2"/>
  <c r="AA206" i="2" s="1"/>
  <c r="Z206" i="2"/>
  <c r="Y206" i="2"/>
  <c r="Z225" i="2"/>
  <c r="Y225" i="2"/>
  <c r="X225" i="2"/>
  <c r="Q225" i="2"/>
  <c r="AA225" i="2" s="1"/>
  <c r="U225" i="2"/>
  <c r="Y259" i="2"/>
  <c r="X259" i="2"/>
  <c r="U259" i="2"/>
  <c r="Q259" i="2"/>
  <c r="AA259" i="2" s="1"/>
  <c r="Z259" i="2"/>
  <c r="Q62" i="2"/>
  <c r="AA62" i="2" s="1"/>
  <c r="Q74" i="2"/>
  <c r="AA74" i="2" s="1"/>
  <c r="Q82" i="2"/>
  <c r="AA82" i="2" s="1"/>
  <c r="U14" i="2"/>
  <c r="U90" i="2"/>
  <c r="Q4" i="2"/>
  <c r="AA4" i="2" s="1"/>
  <c r="Z6" i="2"/>
  <c r="Q8" i="2"/>
  <c r="AA8" i="2" s="1"/>
  <c r="Z10" i="2"/>
  <c r="Q12" i="2"/>
  <c r="Z14" i="2"/>
  <c r="Q16" i="2"/>
  <c r="AA16" i="2" s="1"/>
  <c r="Z18" i="2"/>
  <c r="Q20" i="2"/>
  <c r="Z22" i="2"/>
  <c r="Q24" i="2"/>
  <c r="AA24" i="2" s="1"/>
  <c r="Z26" i="2"/>
  <c r="Q28" i="2"/>
  <c r="AA28" i="2" s="1"/>
  <c r="Z30" i="2"/>
  <c r="Q32" i="2"/>
  <c r="AA32" i="2" s="1"/>
  <c r="Z34" i="2"/>
  <c r="Q36" i="2"/>
  <c r="AA36" i="2" s="1"/>
  <c r="Z38" i="2"/>
  <c r="Q40" i="2"/>
  <c r="Z42" i="2"/>
  <c r="Q44" i="2"/>
  <c r="Z46" i="2"/>
  <c r="Q48" i="2"/>
  <c r="AA48" i="2" s="1"/>
  <c r="Z50" i="2"/>
  <c r="Q52" i="2"/>
  <c r="AA52" i="2" s="1"/>
  <c r="Z54" i="2"/>
  <c r="Q56" i="2"/>
  <c r="AA56" i="2" s="1"/>
  <c r="Z58" i="2"/>
  <c r="Q60" i="2"/>
  <c r="AA60" i="2" s="1"/>
  <c r="Z62" i="2"/>
  <c r="Q64" i="2"/>
  <c r="Z66" i="2"/>
  <c r="Q68" i="2"/>
  <c r="AA68" i="2" s="1"/>
  <c r="Z70" i="2"/>
  <c r="Q72" i="2"/>
  <c r="Z74" i="2"/>
  <c r="Q76" i="2"/>
  <c r="AA76" i="2" s="1"/>
  <c r="Z78" i="2"/>
  <c r="Q80" i="2"/>
  <c r="AA80" i="2" s="1"/>
  <c r="Z82" i="2"/>
  <c r="Q84" i="2"/>
  <c r="AA84" i="2" s="1"/>
  <c r="Z86" i="2"/>
  <c r="Q88" i="2"/>
  <c r="AA88" i="2" s="1"/>
  <c r="Z90" i="2"/>
  <c r="Q92" i="2"/>
  <c r="AA92" i="2" s="1"/>
  <c r="Z94" i="2"/>
  <c r="Q96" i="2"/>
  <c r="AA96" i="2" s="1"/>
  <c r="Z221" i="2"/>
  <c r="Y221" i="2"/>
  <c r="X221" i="2"/>
  <c r="Q221" i="2"/>
  <c r="AA221" i="2" s="1"/>
  <c r="U221" i="2"/>
  <c r="W108" i="2"/>
  <c r="V108" i="2"/>
  <c r="Q70" i="2"/>
  <c r="X3" i="2"/>
  <c r="X11" i="2"/>
  <c r="X23" i="2"/>
  <c r="X43" i="2"/>
  <c r="X55" i="2"/>
  <c r="X59" i="2"/>
  <c r="X63" i="2"/>
  <c r="AA66" i="2"/>
  <c r="X67" i="2"/>
  <c r="X71" i="2"/>
  <c r="X75" i="2"/>
  <c r="X79" i="2"/>
  <c r="X83" i="2"/>
  <c r="X87" i="2"/>
  <c r="X91" i="2"/>
  <c r="X95" i="2"/>
  <c r="W211" i="2"/>
  <c r="V211" i="2"/>
  <c r="W215" i="2"/>
  <c r="V215" i="2"/>
  <c r="U98" i="2"/>
  <c r="Q98" i="2"/>
  <c r="AA98" i="2" s="1"/>
  <c r="X15" i="2"/>
  <c r="X51" i="2"/>
  <c r="Y11" i="2"/>
  <c r="Y15" i="2"/>
  <c r="Y19" i="2"/>
  <c r="Y23" i="2"/>
  <c r="Y27" i="2"/>
  <c r="Y31" i="2"/>
  <c r="Y35" i="2"/>
  <c r="Y39" i="2"/>
  <c r="V40" i="2"/>
  <c r="Y43" i="2"/>
  <c r="Y47" i="2"/>
  <c r="V48" i="2"/>
  <c r="Y51" i="2"/>
  <c r="Y55" i="2"/>
  <c r="Y59" i="2"/>
  <c r="Y63" i="2"/>
  <c r="Y67" i="2"/>
  <c r="Y71" i="2"/>
  <c r="Y75" i="2"/>
  <c r="Y79" i="2"/>
  <c r="V80" i="2"/>
  <c r="Y83" i="2"/>
  <c r="Y87" i="2"/>
  <c r="Y91" i="2"/>
  <c r="Y95" i="2"/>
  <c r="X19" i="2"/>
  <c r="X31" i="2"/>
  <c r="X35" i="2"/>
  <c r="X39" i="2"/>
  <c r="X47" i="2"/>
  <c r="Y3" i="2"/>
  <c r="Y7" i="2"/>
  <c r="Z3" i="2"/>
  <c r="Q5" i="2"/>
  <c r="AA5" i="2" s="1"/>
  <c r="Z7" i="2"/>
  <c r="Q9" i="2"/>
  <c r="AA9" i="2" s="1"/>
  <c r="Z11" i="2"/>
  <c r="Q13" i="2"/>
  <c r="Z15" i="2"/>
  <c r="Q17" i="2"/>
  <c r="AA17" i="2" s="1"/>
  <c r="Z19" i="2"/>
  <c r="Q21" i="2"/>
  <c r="Z23" i="2"/>
  <c r="Q25" i="2"/>
  <c r="AA25" i="2" s="1"/>
  <c r="Z27" i="2"/>
  <c r="Q29" i="2"/>
  <c r="AA29" i="2" s="1"/>
  <c r="Z31" i="2"/>
  <c r="Q33" i="2"/>
  <c r="AA33" i="2" s="1"/>
  <c r="Z35" i="2"/>
  <c r="Q37" i="2"/>
  <c r="AA37" i="2" s="1"/>
  <c r="Z39" i="2"/>
  <c r="Q41" i="2"/>
  <c r="Q45" i="2"/>
  <c r="Z47" i="2"/>
  <c r="Q49" i="2"/>
  <c r="AA49" i="2" s="1"/>
  <c r="Z51" i="2"/>
  <c r="Q53" i="2"/>
  <c r="AA53" i="2" s="1"/>
  <c r="Q57" i="2"/>
  <c r="AA57" i="2" s="1"/>
  <c r="Z59" i="2"/>
  <c r="Q61" i="2"/>
  <c r="AA61" i="2" s="1"/>
  <c r="Z63" i="2"/>
  <c r="Q65" i="2"/>
  <c r="AA65" i="2" s="1"/>
  <c r="Z67" i="2"/>
  <c r="Q69" i="2"/>
  <c r="AA69" i="2" s="1"/>
  <c r="Z71" i="2"/>
  <c r="Q73" i="2"/>
  <c r="AA73" i="2" s="1"/>
  <c r="Z75" i="2"/>
  <c r="Q77" i="2"/>
  <c r="Z79" i="2"/>
  <c r="Q81" i="2"/>
  <c r="AA81" i="2" s="1"/>
  <c r="Z83" i="2"/>
  <c r="Q85" i="2"/>
  <c r="AA85" i="2" s="1"/>
  <c r="Z87" i="2"/>
  <c r="Z91" i="2"/>
  <c r="Z95" i="2"/>
  <c r="Z184" i="2"/>
  <c r="Q184" i="2"/>
  <c r="AA184" i="2" s="1"/>
  <c r="Y184" i="2"/>
  <c r="X184" i="2"/>
  <c r="U184" i="2"/>
  <c r="X230" i="2"/>
  <c r="U230" i="2"/>
  <c r="Q230" i="2"/>
  <c r="Z230" i="2"/>
  <c r="Y230" i="2"/>
  <c r="U10" i="2"/>
  <c r="X7" i="2"/>
  <c r="X27" i="2"/>
  <c r="U195" i="2"/>
  <c r="Q195" i="2"/>
  <c r="AA195" i="2" s="1"/>
  <c r="Z195" i="2"/>
  <c r="Y195" i="2"/>
  <c r="Z213" i="2"/>
  <c r="Y213" i="2"/>
  <c r="X213" i="2"/>
  <c r="Q213" i="2"/>
  <c r="AA213" i="2" s="1"/>
  <c r="U213" i="2"/>
  <c r="X174" i="2"/>
  <c r="X178" i="2"/>
  <c r="X182" i="2"/>
  <c r="U182" i="2"/>
  <c r="Q182" i="2"/>
  <c r="Z182" i="2"/>
  <c r="N184" i="2"/>
  <c r="O184" i="2" s="1"/>
  <c r="Z185" i="2"/>
  <c r="X185" i="2"/>
  <c r="Q185" i="2"/>
  <c r="AA185" i="2" s="1"/>
  <c r="N192" i="2"/>
  <c r="O192" i="2" s="1"/>
  <c r="Z193" i="2"/>
  <c r="X193" i="2"/>
  <c r="Q193" i="2"/>
  <c r="AA193" i="2" s="1"/>
  <c r="N203" i="2"/>
  <c r="O203" i="2" s="1"/>
  <c r="N215" i="2"/>
  <c r="O215" i="2" s="1"/>
  <c r="N227" i="2"/>
  <c r="O227" i="2" s="1"/>
  <c r="W233" i="2"/>
  <c r="V233" i="2"/>
  <c r="Y102" i="2"/>
  <c r="Y106" i="2"/>
  <c r="Y110" i="2"/>
  <c r="Y114" i="2"/>
  <c r="Y118" i="2"/>
  <c r="Y122" i="2"/>
  <c r="Y126" i="2"/>
  <c r="Y130" i="2"/>
  <c r="Y134" i="2"/>
  <c r="Y138" i="2"/>
  <c r="Y142" i="2"/>
  <c r="Y146" i="2"/>
  <c r="Y150" i="2"/>
  <c r="Y154" i="2"/>
  <c r="Y158" i="2"/>
  <c r="Y162" i="2"/>
  <c r="Y166" i="2"/>
  <c r="Y170" i="2"/>
  <c r="Y174" i="2"/>
  <c r="Y178" i="2"/>
  <c r="U185" i="2"/>
  <c r="U193" i="2"/>
  <c r="Y99" i="2"/>
  <c r="Y103" i="2"/>
  <c r="Y107" i="2"/>
  <c r="Y111" i="2"/>
  <c r="Y115" i="2"/>
  <c r="Y123" i="2"/>
  <c r="Y127" i="2"/>
  <c r="Z181" i="2"/>
  <c r="X181" i="2"/>
  <c r="Q181" i="2"/>
  <c r="AA181" i="2" s="1"/>
  <c r="N183" i="2"/>
  <c r="O183" i="2" s="1"/>
  <c r="N186" i="2"/>
  <c r="O186" i="2" s="1"/>
  <c r="N194" i="2"/>
  <c r="O194" i="2" s="1"/>
  <c r="N207" i="2"/>
  <c r="O207" i="2" s="1"/>
  <c r="N219" i="2"/>
  <c r="O219" i="2" s="1"/>
  <c r="V305" i="2"/>
  <c r="W305" i="2"/>
  <c r="Q101" i="2"/>
  <c r="AA101" i="2" s="1"/>
  <c r="Q105" i="2"/>
  <c r="AA105" i="2" s="1"/>
  <c r="Q109" i="2"/>
  <c r="Q113" i="2"/>
  <c r="AA113" i="2" s="1"/>
  <c r="Q117" i="2"/>
  <c r="Q121" i="2"/>
  <c r="Q125" i="2"/>
  <c r="AA125" i="2" s="1"/>
  <c r="Q129" i="2"/>
  <c r="AA129" i="2" s="1"/>
  <c r="Q133" i="2"/>
  <c r="AA133" i="2" s="1"/>
  <c r="Q137" i="2"/>
  <c r="N191" i="2"/>
  <c r="O191" i="2" s="1"/>
  <c r="Z189" i="2"/>
  <c r="X189" i="2"/>
  <c r="Q189" i="2"/>
  <c r="AA189" i="2" s="1"/>
  <c r="Z197" i="2"/>
  <c r="X197" i="2"/>
  <c r="Q197" i="2"/>
  <c r="X210" i="2"/>
  <c r="U210" i="2"/>
  <c r="Q210" i="2"/>
  <c r="AA210" i="2" s="1"/>
  <c r="Z210" i="2"/>
  <c r="Y210" i="2"/>
  <c r="X222" i="2"/>
  <c r="U222" i="2"/>
  <c r="Q222" i="2"/>
  <c r="AA222" i="2" s="1"/>
  <c r="Z222" i="2"/>
  <c r="Y222" i="2"/>
  <c r="W236" i="2"/>
  <c r="V236" i="2"/>
  <c r="Z303" i="2"/>
  <c r="Y303" i="2"/>
  <c r="X303" i="2"/>
  <c r="U303" i="2"/>
  <c r="Q303" i="2"/>
  <c r="AA303" i="2" s="1"/>
  <c r="Y100" i="2"/>
  <c r="Y104" i="2"/>
  <c r="Y108" i="2"/>
  <c r="Y112" i="2"/>
  <c r="Y116" i="2"/>
  <c r="Y120" i="2"/>
  <c r="Y124" i="2"/>
  <c r="Y128" i="2"/>
  <c r="V129" i="2"/>
  <c r="V169" i="2"/>
  <c r="V173" i="2"/>
  <c r="V177" i="2"/>
  <c r="U183" i="2"/>
  <c r="Q183" i="2"/>
  <c r="AA183" i="2" s="1"/>
  <c r="Z183" i="2"/>
  <c r="U189" i="2"/>
  <c r="U197" i="2"/>
  <c r="Z205" i="2"/>
  <c r="Y205" i="2"/>
  <c r="X205" i="2"/>
  <c r="Q205" i="2"/>
  <c r="AA205" i="2" s="1"/>
  <c r="Z217" i="2"/>
  <c r="Y217" i="2"/>
  <c r="X217" i="2"/>
  <c r="Q217" i="2"/>
  <c r="AA217" i="2" s="1"/>
  <c r="W219" i="2"/>
  <c r="V219" i="2"/>
  <c r="Z229" i="2"/>
  <c r="Y229" i="2"/>
  <c r="X229" i="2"/>
  <c r="Q229" i="2"/>
  <c r="Z100" i="2"/>
  <c r="Q102" i="2"/>
  <c r="AA102" i="2" s="1"/>
  <c r="Z104" i="2"/>
  <c r="Q106" i="2"/>
  <c r="AA106" i="2" s="1"/>
  <c r="Z108" i="2"/>
  <c r="Q110" i="2"/>
  <c r="AA110" i="2" s="1"/>
  <c r="Z112" i="2"/>
  <c r="Q114" i="2"/>
  <c r="AA114" i="2" s="1"/>
  <c r="Z116" i="2"/>
  <c r="Q118" i="2"/>
  <c r="AA118" i="2" s="1"/>
  <c r="Z120" i="2"/>
  <c r="Q122" i="2"/>
  <c r="Q126" i="2"/>
  <c r="AA126" i="2" s="1"/>
  <c r="Z128" i="2"/>
  <c r="Q130" i="2"/>
  <c r="Z132" i="2"/>
  <c r="Q134" i="2"/>
  <c r="Z136" i="2"/>
  <c r="Q138" i="2"/>
  <c r="AA138" i="2" s="1"/>
  <c r="Z140" i="2"/>
  <c r="Q142" i="2"/>
  <c r="Z144" i="2"/>
  <c r="Q146" i="2"/>
  <c r="AA146" i="2" s="1"/>
  <c r="Z148" i="2"/>
  <c r="Q150" i="2"/>
  <c r="AA150" i="2" s="1"/>
  <c r="Q154" i="2"/>
  <c r="Q158" i="2"/>
  <c r="AA158" i="2" s="1"/>
  <c r="Q162" i="2"/>
  <c r="Q166" i="2"/>
  <c r="AA166" i="2" s="1"/>
  <c r="Q170" i="2"/>
  <c r="AA170" i="2" s="1"/>
  <c r="Q174" i="2"/>
  <c r="AA174" i="2" s="1"/>
  <c r="Q178" i="2"/>
  <c r="X186" i="2"/>
  <c r="U186" i="2"/>
  <c r="Q186" i="2"/>
  <c r="AA186" i="2" s="1"/>
  <c r="Z186" i="2"/>
  <c r="Y186" i="2"/>
  <c r="U191" i="2"/>
  <c r="Q191" i="2"/>
  <c r="AA191" i="2" s="1"/>
  <c r="Z191" i="2"/>
  <c r="X194" i="2"/>
  <c r="U194" i="2"/>
  <c r="Q194" i="2"/>
  <c r="AA194" i="2" s="1"/>
  <c r="Z194" i="2"/>
  <c r="Y194" i="2"/>
  <c r="U205" i="2"/>
  <c r="U217" i="2"/>
  <c r="U229" i="2"/>
  <c r="W231" i="2"/>
  <c r="V231" i="2"/>
  <c r="X101" i="2"/>
  <c r="X105" i="2"/>
  <c r="X109" i="2"/>
  <c r="X113" i="2"/>
  <c r="X117" i="2"/>
  <c r="X121" i="2"/>
  <c r="X125" i="2"/>
  <c r="X129" i="2"/>
  <c r="X133" i="2"/>
  <c r="X137" i="2"/>
  <c r="X141" i="2"/>
  <c r="X145" i="2"/>
  <c r="X149" i="2"/>
  <c r="X153" i="2"/>
  <c r="X157" i="2"/>
  <c r="X161" i="2"/>
  <c r="X165" i="2"/>
  <c r="X169" i="2"/>
  <c r="X173" i="2"/>
  <c r="X177" i="2"/>
  <c r="X183" i="2"/>
  <c r="Y189" i="2"/>
  <c r="X191" i="2"/>
  <c r="Y197" i="2"/>
  <c r="W199" i="2"/>
  <c r="V199" i="2"/>
  <c r="Y243" i="2"/>
  <c r="X243" i="2"/>
  <c r="U243" i="2"/>
  <c r="Q243" i="2"/>
  <c r="AA243" i="2" s="1"/>
  <c r="Y183" i="2"/>
  <c r="N190" i="2"/>
  <c r="O190" i="2" s="1"/>
  <c r="Y191" i="2"/>
  <c r="X202" i="2"/>
  <c r="U202" i="2"/>
  <c r="Q202" i="2"/>
  <c r="AA202" i="2" s="1"/>
  <c r="Z202" i="2"/>
  <c r="Y202" i="2"/>
  <c r="N206" i="2"/>
  <c r="O206" i="2" s="1"/>
  <c r="X214" i="2"/>
  <c r="U214" i="2"/>
  <c r="Q214" i="2"/>
  <c r="Z214" i="2"/>
  <c r="Y214" i="2"/>
  <c r="N218" i="2"/>
  <c r="O218" i="2" s="1"/>
  <c r="X226" i="2"/>
  <c r="U226" i="2"/>
  <c r="Q226" i="2"/>
  <c r="AA226" i="2" s="1"/>
  <c r="Z226" i="2"/>
  <c r="Y226" i="2"/>
  <c r="W235" i="2"/>
  <c r="V235" i="2"/>
  <c r="Z243" i="2"/>
  <c r="Y251" i="2"/>
  <c r="X251" i="2"/>
  <c r="U251" i="2"/>
  <c r="Q251" i="2"/>
  <c r="AA251" i="2" s="1"/>
  <c r="Y234" i="2"/>
  <c r="Z238" i="2"/>
  <c r="V281" i="2"/>
  <c r="W281" i="2"/>
  <c r="Z291" i="2"/>
  <c r="Y291" i="2"/>
  <c r="X291" i="2"/>
  <c r="U291" i="2"/>
  <c r="V293" i="2"/>
  <c r="W293" i="2"/>
  <c r="Z299" i="2"/>
  <c r="Y299" i="2"/>
  <c r="X299" i="2"/>
  <c r="U299" i="2"/>
  <c r="V301" i="2"/>
  <c r="W301" i="2"/>
  <c r="Q188" i="2"/>
  <c r="AA188" i="2" s="1"/>
  <c r="Q192" i="2"/>
  <c r="AA192" i="2" s="1"/>
  <c r="Q196" i="2"/>
  <c r="AA196" i="2" s="1"/>
  <c r="Q200" i="2"/>
  <c r="Q204" i="2"/>
  <c r="AA204" i="2" s="1"/>
  <c r="Q208" i="2"/>
  <c r="AA208" i="2" s="1"/>
  <c r="Q212" i="2"/>
  <c r="AA212" i="2" s="1"/>
  <c r="Q216" i="2"/>
  <c r="AA216" i="2" s="1"/>
  <c r="Q220" i="2"/>
  <c r="AA220" i="2" s="1"/>
  <c r="Q224" i="2"/>
  <c r="AA224" i="2" s="1"/>
  <c r="Q228" i="2"/>
  <c r="AA228" i="2" s="1"/>
  <c r="Q232" i="2"/>
  <c r="AA232" i="2" s="1"/>
  <c r="Z234" i="2"/>
  <c r="Q236" i="2"/>
  <c r="AA236" i="2" s="1"/>
  <c r="Y267" i="2"/>
  <c r="X267" i="2"/>
  <c r="U267" i="2"/>
  <c r="Q291" i="2"/>
  <c r="AA291" i="2" s="1"/>
  <c r="Q299" i="2"/>
  <c r="AA299" i="2" s="1"/>
  <c r="Y240" i="2"/>
  <c r="X240" i="2"/>
  <c r="U240" i="2"/>
  <c r="Q240" i="2"/>
  <c r="AA240" i="2" s="1"/>
  <c r="Z240" i="2"/>
  <c r="Y275" i="2"/>
  <c r="X275" i="2"/>
  <c r="U275" i="2"/>
  <c r="Z311" i="2"/>
  <c r="Y311" i="2"/>
  <c r="X311" i="2"/>
  <c r="U311" i="2"/>
  <c r="U342" i="2"/>
  <c r="Q342" i="2"/>
  <c r="AA342" i="2" s="1"/>
  <c r="Z342" i="2"/>
  <c r="Y342" i="2"/>
  <c r="Z199" i="2"/>
  <c r="Z203" i="2"/>
  <c r="Z207" i="2"/>
  <c r="Z211" i="2"/>
  <c r="Z215" i="2"/>
  <c r="Z219" i="2"/>
  <c r="Z223" i="2"/>
  <c r="Z227" i="2"/>
  <c r="Z231" i="2"/>
  <c r="Q233" i="2"/>
  <c r="AA233" i="2" s="1"/>
  <c r="Z235" i="2"/>
  <c r="Q237" i="2"/>
  <c r="AA237" i="2" s="1"/>
  <c r="Y248" i="2"/>
  <c r="X248" i="2"/>
  <c r="U248" i="2"/>
  <c r="Q248" i="2"/>
  <c r="AA248" i="2"/>
  <c r="Z248" i="2"/>
  <c r="Y256" i="2"/>
  <c r="X256" i="2"/>
  <c r="U256" i="2"/>
  <c r="Q256" i="2"/>
  <c r="AA256" i="2" s="1"/>
  <c r="Z256" i="2"/>
  <c r="V261" i="2"/>
  <c r="W261" i="2"/>
  <c r="Q275" i="2"/>
  <c r="AA275" i="2" s="1"/>
  <c r="AA283" i="2"/>
  <c r="Z283" i="2"/>
  <c r="Y283" i="2"/>
  <c r="X283" i="2"/>
  <c r="U283" i="2"/>
  <c r="V285" i="2"/>
  <c r="W285" i="2"/>
  <c r="Z295" i="2"/>
  <c r="Y295" i="2"/>
  <c r="X295" i="2"/>
  <c r="U295" i="2"/>
  <c r="Q311" i="2"/>
  <c r="AA311" i="2" s="1"/>
  <c r="Z324" i="2"/>
  <c r="X324" i="2"/>
  <c r="Q324" i="2"/>
  <c r="AA324" i="2" s="1"/>
  <c r="Y324" i="2"/>
  <c r="U324" i="2"/>
  <c r="X342" i="2"/>
  <c r="Z340" i="2"/>
  <c r="X340" i="2"/>
  <c r="U340" i="2"/>
  <c r="Q340" i="2"/>
  <c r="AA340" i="2" s="1"/>
  <c r="X239" i="2"/>
  <c r="U239" i="2"/>
  <c r="V297" i="2"/>
  <c r="W297" i="2"/>
  <c r="Z188" i="2"/>
  <c r="Z192" i="2"/>
  <c r="Z196" i="2"/>
  <c r="Z204" i="2"/>
  <c r="Z208" i="2"/>
  <c r="Z212" i="2"/>
  <c r="Z216" i="2"/>
  <c r="Z220" i="2"/>
  <c r="Z224" i="2"/>
  <c r="Z228" i="2"/>
  <c r="Z232" i="2"/>
  <c r="Q234" i="2"/>
  <c r="AA234" i="2" s="1"/>
  <c r="Z236" i="2"/>
  <c r="Q238" i="2"/>
  <c r="AA238" i="2" s="1"/>
  <c r="Q239" i="2"/>
  <c r="AA239" i="2" s="1"/>
  <c r="Z319" i="2"/>
  <c r="Y319" i="2"/>
  <c r="X319" i="2"/>
  <c r="U319" i="2"/>
  <c r="X233" i="2"/>
  <c r="U234" i="2"/>
  <c r="X237" i="2"/>
  <c r="V238" i="2"/>
  <c r="Y247" i="2"/>
  <c r="X247" i="2"/>
  <c r="U247" i="2"/>
  <c r="AA255" i="2"/>
  <c r="Y255" i="2"/>
  <c r="X255" i="2"/>
  <c r="U255" i="2"/>
  <c r="AA263" i="2"/>
  <c r="Y263" i="2"/>
  <c r="X263" i="2"/>
  <c r="U263" i="2"/>
  <c r="AA271" i="2"/>
  <c r="Y271" i="2"/>
  <c r="X271" i="2"/>
  <c r="U271" i="2"/>
  <c r="AA287" i="2"/>
  <c r="Z287" i="2"/>
  <c r="Y287" i="2"/>
  <c r="X287" i="2"/>
  <c r="U287" i="2"/>
  <c r="V289" i="2"/>
  <c r="W289" i="2"/>
  <c r="Q319" i="2"/>
  <c r="AA319" i="2" s="1"/>
  <c r="Y233" i="2"/>
  <c r="Y237" i="2"/>
  <c r="Y239" i="2"/>
  <c r="V265" i="2"/>
  <c r="W265" i="2"/>
  <c r="Q199" i="2"/>
  <c r="AA199" i="2" s="1"/>
  <c r="Q203" i="2"/>
  <c r="AA203" i="2" s="1"/>
  <c r="Q207" i="2"/>
  <c r="AA207" i="2" s="1"/>
  <c r="Q211" i="2"/>
  <c r="AA211" i="2" s="1"/>
  <c r="Q215" i="2"/>
  <c r="AA215" i="2" s="1"/>
  <c r="Q219" i="2"/>
  <c r="AA219" i="2" s="1"/>
  <c r="Q223" i="2"/>
  <c r="AA223" i="2" s="1"/>
  <c r="Q227" i="2"/>
  <c r="AA227" i="2" s="1"/>
  <c r="Q231" i="2"/>
  <c r="Z233" i="2"/>
  <c r="Q235" i="2"/>
  <c r="AA235" i="2" s="1"/>
  <c r="Z237" i="2"/>
  <c r="X238" i="2"/>
  <c r="Z239" i="2"/>
  <c r="U241" i="2"/>
  <c r="X241" i="2"/>
  <c r="Y244" i="2"/>
  <c r="X244" i="2"/>
  <c r="U244" i="2"/>
  <c r="Q244" i="2"/>
  <c r="AA244" i="2" s="1"/>
  <c r="Z244" i="2"/>
  <c r="Y252" i="2"/>
  <c r="X252" i="2"/>
  <c r="U252" i="2"/>
  <c r="Q252" i="2"/>
  <c r="AA252" i="2"/>
  <c r="Z252" i="2"/>
  <c r="Y260" i="2"/>
  <c r="X260" i="2"/>
  <c r="U260" i="2"/>
  <c r="Q260" i="2"/>
  <c r="AA260" i="2" s="1"/>
  <c r="Z260" i="2"/>
  <c r="Y279" i="2"/>
  <c r="X279" i="2"/>
  <c r="U279" i="2"/>
  <c r="Z307" i="2"/>
  <c r="Y307" i="2"/>
  <c r="X307" i="2"/>
  <c r="U307" i="2"/>
  <c r="V309" i="2"/>
  <c r="W309" i="2"/>
  <c r="Z315" i="2"/>
  <c r="Y315" i="2"/>
  <c r="X315" i="2"/>
  <c r="U315" i="2"/>
  <c r="V317" i="2"/>
  <c r="W317" i="2"/>
  <c r="Y238" i="2"/>
  <c r="Q241" i="2"/>
  <c r="AA241" i="2" s="1"/>
  <c r="Q279" i="2"/>
  <c r="AA279" i="2" s="1"/>
  <c r="Q307" i="2"/>
  <c r="AA307" i="2" s="1"/>
  <c r="Q315" i="2"/>
  <c r="AA315" i="2" s="1"/>
  <c r="Q242" i="2"/>
  <c r="AA242" i="2" s="1"/>
  <c r="Q246" i="2"/>
  <c r="AA246" i="2" s="1"/>
  <c r="Q250" i="2"/>
  <c r="AA250" i="2" s="1"/>
  <c r="Q254" i="2"/>
  <c r="AA254" i="2" s="1"/>
  <c r="Q258" i="2"/>
  <c r="AA258" i="2" s="1"/>
  <c r="Q262" i="2"/>
  <c r="AA262" i="2" s="1"/>
  <c r="Z264" i="2"/>
  <c r="Q266" i="2"/>
  <c r="Z268" i="2"/>
  <c r="Z272" i="2"/>
  <c r="Z276" i="2"/>
  <c r="Z280" i="2"/>
  <c r="Z284" i="2"/>
  <c r="Z288" i="2"/>
  <c r="Z292" i="2"/>
  <c r="Z296" i="2"/>
  <c r="Z300" i="2"/>
  <c r="Z304" i="2"/>
  <c r="Z308" i="2"/>
  <c r="Z312" i="2"/>
  <c r="Z316" i="2"/>
  <c r="N321" i="2"/>
  <c r="O321" i="2" s="1"/>
  <c r="Z332" i="2"/>
  <c r="X332" i="2"/>
  <c r="U332" i="2"/>
  <c r="Q332" i="2"/>
  <c r="AA332" i="2" s="1"/>
  <c r="U334" i="2"/>
  <c r="Q334" i="2"/>
  <c r="AA334" i="2" s="1"/>
  <c r="Z334" i="2"/>
  <c r="U242" i="2"/>
  <c r="X245" i="2"/>
  <c r="U246" i="2"/>
  <c r="X249" i="2"/>
  <c r="U250" i="2"/>
  <c r="X253" i="2"/>
  <c r="U254" i="2"/>
  <c r="X257" i="2"/>
  <c r="U258" i="2"/>
  <c r="X261" i="2"/>
  <c r="U262" i="2"/>
  <c r="AA264" i="2"/>
  <c r="X265" i="2"/>
  <c r="U266" i="2"/>
  <c r="X269" i="2"/>
  <c r="U270" i="2"/>
  <c r="X273" i="2"/>
  <c r="U274" i="2"/>
  <c r="AA276" i="2"/>
  <c r="X277" i="2"/>
  <c r="U278" i="2"/>
  <c r="X281" i="2"/>
  <c r="U282" i="2"/>
  <c r="X285" i="2"/>
  <c r="U286" i="2"/>
  <c r="X289" i="2"/>
  <c r="U290" i="2"/>
  <c r="X293" i="2"/>
  <c r="U294" i="2"/>
  <c r="X297" i="2"/>
  <c r="U298" i="2"/>
  <c r="X301" i="2"/>
  <c r="U302" i="2"/>
  <c r="X305" i="2"/>
  <c r="U306" i="2"/>
  <c r="X309" i="2"/>
  <c r="U310" i="2"/>
  <c r="X313" i="2"/>
  <c r="Z327" i="2"/>
  <c r="Y327" i="2"/>
  <c r="Q327" i="2"/>
  <c r="AA327" i="2" s="1"/>
  <c r="Y332" i="2"/>
  <c r="X334" i="2"/>
  <c r="Z336" i="2"/>
  <c r="X336" i="2"/>
  <c r="U336" i="2"/>
  <c r="Q336" i="2"/>
  <c r="AA336" i="2" s="1"/>
  <c r="U338" i="2"/>
  <c r="Q338" i="2"/>
  <c r="AA338" i="2" s="1"/>
  <c r="Z338" i="2"/>
  <c r="X242" i="2"/>
  <c r="X246" i="2"/>
  <c r="AA249" i="2"/>
  <c r="X250" i="2"/>
  <c r="AA253" i="2"/>
  <c r="X254" i="2"/>
  <c r="X258" i="2"/>
  <c r="X262" i="2"/>
  <c r="AA265" i="2"/>
  <c r="X266" i="2"/>
  <c r="X270" i="2"/>
  <c r="X274" i="2"/>
  <c r="X278" i="2"/>
  <c r="X282" i="2"/>
  <c r="X286" i="2"/>
  <c r="X290" i="2"/>
  <c r="AA293" i="2"/>
  <c r="X294" i="2"/>
  <c r="X298" i="2"/>
  <c r="Z344" i="2"/>
  <c r="X344" i="2"/>
  <c r="U344" i="2"/>
  <c r="Q344" i="2"/>
  <c r="AA344" i="2" s="1"/>
  <c r="U346" i="2"/>
  <c r="Q346" i="2"/>
  <c r="AA346" i="2" s="1"/>
  <c r="Z346" i="2"/>
  <c r="Y386" i="2"/>
  <c r="U386" i="2"/>
  <c r="Q386" i="2"/>
  <c r="AA386" i="2" s="1"/>
  <c r="Z386" i="2"/>
  <c r="X386" i="2"/>
  <c r="Z411" i="2"/>
  <c r="Y411" i="2"/>
  <c r="X411" i="2"/>
  <c r="U411" i="2"/>
  <c r="N428" i="2"/>
  <c r="O428" i="2" s="1"/>
  <c r="Q457" i="2"/>
  <c r="AA457" i="2" s="1"/>
  <c r="Y457" i="2"/>
  <c r="Z457" i="2"/>
  <c r="X457" i="2"/>
  <c r="AA320" i="2"/>
  <c r="X320" i="2"/>
  <c r="U326" i="2"/>
  <c r="Q326" i="2"/>
  <c r="AA326" i="2" s="1"/>
  <c r="Z326" i="2"/>
  <c r="N328" i="2"/>
  <c r="O328" i="2" s="1"/>
  <c r="N343" i="2"/>
  <c r="O343" i="2" s="1"/>
  <c r="Y344" i="2"/>
  <c r="X346" i="2"/>
  <c r="Q411" i="2"/>
  <c r="AA411" i="2" s="1"/>
  <c r="U457" i="2"/>
  <c r="Z242" i="2"/>
  <c r="Z246" i="2"/>
  <c r="Z250" i="2"/>
  <c r="Z254" i="2"/>
  <c r="Z258" i="2"/>
  <c r="Z262" i="2"/>
  <c r="Q264" i="2"/>
  <c r="Z266" i="2"/>
  <c r="Q268" i="2"/>
  <c r="AA268" i="2" s="1"/>
  <c r="Z270" i="2"/>
  <c r="Q272" i="2"/>
  <c r="AA272" i="2" s="1"/>
  <c r="Z274" i="2"/>
  <c r="Q276" i="2"/>
  <c r="Z278" i="2"/>
  <c r="Q280" i="2"/>
  <c r="AA280" i="2" s="1"/>
  <c r="Z282" i="2"/>
  <c r="Q284" i="2"/>
  <c r="AA284" i="2" s="1"/>
  <c r="Z286" i="2"/>
  <c r="Q288" i="2"/>
  <c r="AA288" i="2" s="1"/>
  <c r="Z290" i="2"/>
  <c r="Q292" i="2"/>
  <c r="AA292" i="2" s="1"/>
  <c r="Z294" i="2"/>
  <c r="Q296" i="2"/>
  <c r="Q300" i="2"/>
  <c r="AA300" i="2" s="1"/>
  <c r="Q304" i="2"/>
  <c r="AA304" i="2" s="1"/>
  <c r="Q308" i="2"/>
  <c r="AA308" i="2" s="1"/>
  <c r="Q312" i="2"/>
  <c r="AA312" i="2" s="1"/>
  <c r="Q316" i="2"/>
  <c r="AA316" i="2" s="1"/>
  <c r="Y346" i="2"/>
  <c r="Z348" i="2"/>
  <c r="X348" i="2"/>
  <c r="U348" i="2"/>
  <c r="Q348" i="2"/>
  <c r="AA348" i="2" s="1"/>
  <c r="U350" i="2"/>
  <c r="Q350" i="2"/>
  <c r="AA350" i="2" s="1"/>
  <c r="Z350" i="2"/>
  <c r="W354" i="2"/>
  <c r="V354" i="2"/>
  <c r="W358" i="2"/>
  <c r="V358" i="2"/>
  <c r="W362" i="2"/>
  <c r="V362" i="2"/>
  <c r="W366" i="2"/>
  <c r="V366" i="2"/>
  <c r="W370" i="2"/>
  <c r="V370" i="2"/>
  <c r="W385" i="2"/>
  <c r="V385" i="2"/>
  <c r="V395" i="2"/>
  <c r="W395" i="2"/>
  <c r="U264" i="2"/>
  <c r="U268" i="2"/>
  <c r="U272" i="2"/>
  <c r="U276" i="2"/>
  <c r="U280" i="2"/>
  <c r="U284" i="2"/>
  <c r="U288" i="2"/>
  <c r="U292" i="2"/>
  <c r="U296" i="2"/>
  <c r="U300" i="2"/>
  <c r="U304" i="2"/>
  <c r="U308" i="2"/>
  <c r="U312" i="2"/>
  <c r="U316" i="2"/>
  <c r="Z323" i="2"/>
  <c r="Y323" i="2"/>
  <c r="Q323" i="2"/>
  <c r="AA323" i="2" s="1"/>
  <c r="N347" i="2"/>
  <c r="O347" i="2" s="1"/>
  <c r="U323" i="2"/>
  <c r="V335" i="2"/>
  <c r="N349" i="2"/>
  <c r="O349" i="2" s="1"/>
  <c r="Y350" i="2"/>
  <c r="Z352" i="2"/>
  <c r="Y352" i="2"/>
  <c r="X352" i="2"/>
  <c r="U352" i="2"/>
  <c r="Q352" i="2"/>
  <c r="AA352" i="2" s="1"/>
  <c r="Z356" i="2"/>
  <c r="Y356" i="2"/>
  <c r="X356" i="2"/>
  <c r="U356" i="2"/>
  <c r="Q356" i="2"/>
  <c r="AA356" i="2" s="1"/>
  <c r="Z360" i="2"/>
  <c r="Y360" i="2"/>
  <c r="X360" i="2"/>
  <c r="U360" i="2"/>
  <c r="Q360" i="2"/>
  <c r="AA360" i="2" s="1"/>
  <c r="Z364" i="2"/>
  <c r="Y364" i="2"/>
  <c r="X364" i="2"/>
  <c r="U364" i="2"/>
  <c r="Q364" i="2"/>
  <c r="AA364" i="2" s="1"/>
  <c r="Z368" i="2"/>
  <c r="Y368" i="2"/>
  <c r="X368" i="2"/>
  <c r="U368" i="2"/>
  <c r="Q368" i="2"/>
  <c r="AA368" i="2" s="1"/>
  <c r="Z328" i="2"/>
  <c r="X328" i="2"/>
  <c r="U328" i="2"/>
  <c r="Q328" i="2"/>
  <c r="AA328" i="2" s="1"/>
  <c r="U330" i="2"/>
  <c r="Q330" i="2"/>
  <c r="Z330" i="2"/>
  <c r="Z372" i="2"/>
  <c r="Y372" i="2"/>
  <c r="X372" i="2"/>
  <c r="U372" i="2"/>
  <c r="Q372" i="2"/>
  <c r="AA372" i="2" s="1"/>
  <c r="Z407" i="2"/>
  <c r="Y407" i="2"/>
  <c r="X407" i="2"/>
  <c r="U407" i="2"/>
  <c r="Q407" i="2"/>
  <c r="AA407" i="2" s="1"/>
  <c r="X264" i="2"/>
  <c r="X268" i="2"/>
  <c r="X272" i="2"/>
  <c r="X276" i="2"/>
  <c r="X280" i="2"/>
  <c r="X284" i="2"/>
  <c r="X288" i="2"/>
  <c r="X292" i="2"/>
  <c r="X296" i="2"/>
  <c r="X300" i="2"/>
  <c r="X304" i="2"/>
  <c r="X308" i="2"/>
  <c r="X312" i="2"/>
  <c r="X316" i="2"/>
  <c r="X323" i="2"/>
  <c r="N327" i="2"/>
  <c r="O327" i="2" s="1"/>
  <c r="Y328" i="2"/>
  <c r="N373" i="2"/>
  <c r="O373" i="2" s="1"/>
  <c r="N392" i="2"/>
  <c r="O392" i="2" s="1"/>
  <c r="Z320" i="2"/>
  <c r="U322" i="2"/>
  <c r="Q322" i="2"/>
  <c r="AA322" i="2" s="1"/>
  <c r="Z322" i="2"/>
  <c r="N324" i="2"/>
  <c r="O324" i="2" s="1"/>
  <c r="N329" i="2"/>
  <c r="O329" i="2" s="1"/>
  <c r="X330" i="2"/>
  <c r="W374" i="2"/>
  <c r="X378" i="2"/>
  <c r="Y387" i="2"/>
  <c r="V397" i="2"/>
  <c r="W397" i="2"/>
  <c r="Z403" i="2"/>
  <c r="Y403" i="2"/>
  <c r="Z419" i="2"/>
  <c r="Y419" i="2"/>
  <c r="X419" i="2"/>
  <c r="U419" i="2"/>
  <c r="Z431" i="2"/>
  <c r="Y431" i="2"/>
  <c r="X431" i="2"/>
  <c r="U431" i="2"/>
  <c r="Z321" i="2"/>
  <c r="Z325" i="2"/>
  <c r="Z329" i="2"/>
  <c r="Q331" i="2"/>
  <c r="AA331" i="2" s="1"/>
  <c r="Z333" i="2"/>
  <c r="Q335" i="2"/>
  <c r="AA335" i="2" s="1"/>
  <c r="Z337" i="2"/>
  <c r="Q339" i="2"/>
  <c r="AA339" i="2" s="1"/>
  <c r="Z341" i="2"/>
  <c r="Q343" i="2"/>
  <c r="AA343" i="2" s="1"/>
  <c r="Z345" i="2"/>
  <c r="Q347" i="2"/>
  <c r="AA347" i="2" s="1"/>
  <c r="Z349" i="2"/>
  <c r="Q351" i="2"/>
  <c r="AA351" i="2" s="1"/>
  <c r="Z353" i="2"/>
  <c r="Q355" i="2"/>
  <c r="AA355" i="2" s="1"/>
  <c r="Z357" i="2"/>
  <c r="Q359" i="2"/>
  <c r="AA359" i="2" s="1"/>
  <c r="Z361" i="2"/>
  <c r="Q363" i="2"/>
  <c r="AA363" i="2" s="1"/>
  <c r="Z365" i="2"/>
  <c r="Q367" i="2"/>
  <c r="AA367" i="2" s="1"/>
  <c r="Z369" i="2"/>
  <c r="Q371" i="2"/>
  <c r="X374" i="2"/>
  <c r="Q387" i="2"/>
  <c r="AA387" i="2" s="1"/>
  <c r="Y395" i="2"/>
  <c r="Q403" i="2"/>
  <c r="AA403" i="2" s="1"/>
  <c r="AA415" i="2"/>
  <c r="Z415" i="2"/>
  <c r="Y415" i="2"/>
  <c r="X415" i="2"/>
  <c r="U415" i="2"/>
  <c r="Q419" i="2"/>
  <c r="AA419" i="2" s="1"/>
  <c r="Q431" i="2"/>
  <c r="AA431" i="2" s="1"/>
  <c r="Z354" i="2"/>
  <c r="Z358" i="2"/>
  <c r="Z362" i="2"/>
  <c r="Z366" i="2"/>
  <c r="Z370" i="2"/>
  <c r="AA374" i="2"/>
  <c r="X387" i="2"/>
  <c r="X331" i="2"/>
  <c r="X335" i="2"/>
  <c r="X339" i="2"/>
  <c r="AA370" i="2"/>
  <c r="Y383" i="2"/>
  <c r="Z387" i="2"/>
  <c r="X395" i="2"/>
  <c r="Z432" i="2"/>
  <c r="Q432" i="2"/>
  <c r="AA432" i="2" s="1"/>
  <c r="Y432" i="2"/>
  <c r="X432" i="2"/>
  <c r="Y331" i="2"/>
  <c r="Y335" i="2"/>
  <c r="Y339" i="2"/>
  <c r="Y343" i="2"/>
  <c r="Y347" i="2"/>
  <c r="Y351" i="2"/>
  <c r="Y355" i="2"/>
  <c r="Y359" i="2"/>
  <c r="Y363" i="2"/>
  <c r="Y367" i="2"/>
  <c r="Y371" i="2"/>
  <c r="Q383" i="2"/>
  <c r="AA383" i="2" s="1"/>
  <c r="Z395" i="2"/>
  <c r="W432" i="2"/>
  <c r="V432" i="2"/>
  <c r="Q321" i="2"/>
  <c r="AA321" i="2" s="1"/>
  <c r="Q325" i="2"/>
  <c r="AA325" i="2" s="1"/>
  <c r="Q329" i="2"/>
  <c r="AA329" i="2" s="1"/>
  <c r="Z331" i="2"/>
  <c r="Q333" i="2"/>
  <c r="AA333" i="2" s="1"/>
  <c r="Z335" i="2"/>
  <c r="Q337" i="2"/>
  <c r="AA337" i="2" s="1"/>
  <c r="Z339" i="2"/>
  <c r="Q341" i="2"/>
  <c r="AA341" i="2" s="1"/>
  <c r="Z343" i="2"/>
  <c r="Q345" i="2"/>
  <c r="AA345" i="2" s="1"/>
  <c r="Z347" i="2"/>
  <c r="Q349" i="2"/>
  <c r="AA349" i="2" s="1"/>
  <c r="Z351" i="2"/>
  <c r="Q353" i="2"/>
  <c r="AA353" i="2" s="1"/>
  <c r="Z355" i="2"/>
  <c r="Q357" i="2"/>
  <c r="Z359" i="2"/>
  <c r="Q361" i="2"/>
  <c r="AA361" i="2" s="1"/>
  <c r="Z363" i="2"/>
  <c r="Q365" i="2"/>
  <c r="AA365" i="2" s="1"/>
  <c r="Z367" i="2"/>
  <c r="Q369" i="2"/>
  <c r="Z371" i="2"/>
  <c r="Y382" i="2"/>
  <c r="U382" i="2"/>
  <c r="Q382" i="2"/>
  <c r="AA382" i="2" s="1"/>
  <c r="U383" i="2"/>
  <c r="Y391" i="2"/>
  <c r="U321" i="2"/>
  <c r="U325" i="2"/>
  <c r="U329" i="2"/>
  <c r="U333" i="2"/>
  <c r="U337" i="2"/>
  <c r="U341" i="2"/>
  <c r="U345" i="2"/>
  <c r="U349" i="2"/>
  <c r="U353" i="2"/>
  <c r="U357" i="2"/>
  <c r="U361" i="2"/>
  <c r="U365" i="2"/>
  <c r="U369" i="2"/>
  <c r="Q391" i="2"/>
  <c r="AA391" i="2" s="1"/>
  <c r="AA399" i="2"/>
  <c r="Z399" i="2"/>
  <c r="Y399" i="2"/>
  <c r="Q430" i="2"/>
  <c r="AA430" i="2" s="1"/>
  <c r="Z430" i="2"/>
  <c r="Y430" i="2"/>
  <c r="X430" i="2"/>
  <c r="U430" i="2"/>
  <c r="Q446" i="2"/>
  <c r="AA446" i="2" s="1"/>
  <c r="Z446" i="2"/>
  <c r="Y446" i="2"/>
  <c r="X446" i="2"/>
  <c r="U446" i="2"/>
  <c r="Z448" i="2"/>
  <c r="Q448" i="2"/>
  <c r="AA448" i="2" s="1"/>
  <c r="Y448" i="2"/>
  <c r="X448" i="2"/>
  <c r="U378" i="2"/>
  <c r="Q378" i="2"/>
  <c r="AA378" i="2" s="1"/>
  <c r="X383" i="2"/>
  <c r="W448" i="2"/>
  <c r="V448" i="2"/>
  <c r="Z456" i="2"/>
  <c r="Q456" i="2"/>
  <c r="AA456" i="2" s="1"/>
  <c r="Y456" i="2"/>
  <c r="X456" i="2"/>
  <c r="U456" i="2"/>
  <c r="Q354" i="2"/>
  <c r="AA354" i="2" s="1"/>
  <c r="Q358" i="2"/>
  <c r="AA358" i="2" s="1"/>
  <c r="Q362" i="2"/>
  <c r="AA362" i="2" s="1"/>
  <c r="Q366" i="2"/>
  <c r="AA366" i="2" s="1"/>
  <c r="Q370" i="2"/>
  <c r="Q374" i="2"/>
  <c r="Q375" i="2"/>
  <c r="AA375" i="2" s="1"/>
  <c r="X376" i="2"/>
  <c r="Z376" i="2"/>
  <c r="U377" i="2"/>
  <c r="X377" i="2"/>
  <c r="U379" i="2"/>
  <c r="V381" i="2"/>
  <c r="X382" i="2"/>
  <c r="Z383" i="2"/>
  <c r="U399" i="2"/>
  <c r="N429" i="2"/>
  <c r="O429" i="2" s="1"/>
  <c r="N445" i="2"/>
  <c r="O445" i="2" s="1"/>
  <c r="V450" i="2"/>
  <c r="W450" i="2"/>
  <c r="U375" i="2"/>
  <c r="Q376" i="2"/>
  <c r="AA376" i="2" s="1"/>
  <c r="Q377" i="2"/>
  <c r="AA377" i="2" s="1"/>
  <c r="Z382" i="2"/>
  <c r="X391" i="2"/>
  <c r="X399" i="2"/>
  <c r="AA423" i="2"/>
  <c r="Z423" i="2"/>
  <c r="Y423" i="2"/>
  <c r="X423" i="2"/>
  <c r="U423" i="2"/>
  <c r="AA427" i="2"/>
  <c r="Z427" i="2"/>
  <c r="Y427" i="2"/>
  <c r="X427" i="2"/>
  <c r="U427" i="2"/>
  <c r="Z380" i="2"/>
  <c r="Z384" i="2"/>
  <c r="Z388" i="2"/>
  <c r="Q390" i="2"/>
  <c r="AA390" i="2" s="1"/>
  <c r="Z392" i="2"/>
  <c r="Q394" i="2"/>
  <c r="AA394" i="2" s="1"/>
  <c r="Z396" i="2"/>
  <c r="Q398" i="2"/>
  <c r="AA398" i="2" s="1"/>
  <c r="Z400" i="2"/>
  <c r="Q402" i="2"/>
  <c r="AA402" i="2" s="1"/>
  <c r="Z404" i="2"/>
  <c r="Q406" i="2"/>
  <c r="AA406" i="2" s="1"/>
  <c r="Z408" i="2"/>
  <c r="Q410" i="2"/>
  <c r="AA410" i="2" s="1"/>
  <c r="Z412" i="2"/>
  <c r="Q414" i="2"/>
  <c r="AA414" i="2" s="1"/>
  <c r="Z416" i="2"/>
  <c r="Q418" i="2"/>
  <c r="AA418" i="2" s="1"/>
  <c r="Z420" i="2"/>
  <c r="Q422" i="2"/>
  <c r="AA422" i="2" s="1"/>
  <c r="Q426" i="2"/>
  <c r="AA426" i="2" s="1"/>
  <c r="Q434" i="2"/>
  <c r="AA434" i="2" s="1"/>
  <c r="Z434" i="2"/>
  <c r="Q435" i="2"/>
  <c r="AA435" i="2" s="1"/>
  <c r="Z441" i="2"/>
  <c r="X452" i="2"/>
  <c r="N455" i="2"/>
  <c r="O455" i="2" s="1"/>
  <c r="N461" i="2"/>
  <c r="O461" i="2" s="1"/>
  <c r="Z468" i="2"/>
  <c r="Y468" i="2"/>
  <c r="U468" i="2"/>
  <c r="Q468" i="2"/>
  <c r="AA468" i="2" s="1"/>
  <c r="X381" i="2"/>
  <c r="X385" i="2"/>
  <c r="X389" i="2"/>
  <c r="U390" i="2"/>
  <c r="X393" i="2"/>
  <c r="U394" i="2"/>
  <c r="X397" i="2"/>
  <c r="U398" i="2"/>
  <c r="U402" i="2"/>
  <c r="U406" i="2"/>
  <c r="U410" i="2"/>
  <c r="U414" i="2"/>
  <c r="U418" i="2"/>
  <c r="U422" i="2"/>
  <c r="U426" i="2"/>
  <c r="U434" i="2"/>
  <c r="U435" i="2"/>
  <c r="X437" i="2"/>
  <c r="Y439" i="2"/>
  <c r="AA441" i="2"/>
  <c r="N443" i="2"/>
  <c r="O443" i="2" s="1"/>
  <c r="Q449" i="2"/>
  <c r="AA449" i="2" s="1"/>
  <c r="Y449" i="2"/>
  <c r="X468" i="2"/>
  <c r="N453" i="2"/>
  <c r="O453" i="2" s="1"/>
  <c r="N459" i="2"/>
  <c r="O459" i="2" s="1"/>
  <c r="Z464" i="2"/>
  <c r="Y464" i="2"/>
  <c r="U464" i="2"/>
  <c r="Q464" i="2"/>
  <c r="AA464" i="2"/>
  <c r="Z428" i="2"/>
  <c r="Q428" i="2"/>
  <c r="AA428" i="2" s="1"/>
  <c r="U429" i="2"/>
  <c r="Y434" i="2"/>
  <c r="N438" i="2"/>
  <c r="O438" i="2" s="1"/>
  <c r="Z444" i="2"/>
  <c r="Q444" i="2"/>
  <c r="AA444" i="2" s="1"/>
  <c r="U445" i="2"/>
  <c r="N451" i="2"/>
  <c r="O451" i="2" s="1"/>
  <c r="X464" i="2"/>
  <c r="Q442" i="2"/>
  <c r="AA442" i="2" s="1"/>
  <c r="Z442" i="2"/>
  <c r="Q454" i="2"/>
  <c r="AA454" i="2" s="1"/>
  <c r="Z454" i="2"/>
  <c r="Z460" i="2"/>
  <c r="Y460" i="2"/>
  <c r="Q460" i="2"/>
  <c r="AA460" i="2" s="1"/>
  <c r="Y429" i="2"/>
  <c r="N434" i="2"/>
  <c r="O434" i="2" s="1"/>
  <c r="Z440" i="2"/>
  <c r="Q440" i="2"/>
  <c r="AA440" i="2" s="1"/>
  <c r="U441" i="2"/>
  <c r="V442" i="2"/>
  <c r="Y445" i="2"/>
  <c r="Q453" i="2"/>
  <c r="AA453" i="2" s="1"/>
  <c r="Y453" i="2"/>
  <c r="W454" i="2"/>
  <c r="U460" i="2"/>
  <c r="Z429" i="2"/>
  <c r="Q438" i="2"/>
  <c r="AA438" i="2" s="1"/>
  <c r="Z438" i="2"/>
  <c r="Z445" i="2"/>
  <c r="Z452" i="2"/>
  <c r="Q452" i="2"/>
  <c r="AA452" i="2" s="1"/>
  <c r="X454" i="2"/>
  <c r="Z472" i="2"/>
  <c r="Y472" i="2"/>
  <c r="X472" i="2"/>
  <c r="U472" i="2"/>
  <c r="Q472" i="2"/>
  <c r="AA472" i="2"/>
  <c r="AA429" i="2"/>
  <c r="U438" i="2"/>
  <c r="U439" i="2"/>
  <c r="X441" i="2"/>
  <c r="X442" i="2"/>
  <c r="AA445" i="2"/>
  <c r="N447" i="2"/>
  <c r="O447" i="2" s="1"/>
  <c r="U452" i="2"/>
  <c r="Y454" i="2"/>
  <c r="N457" i="2"/>
  <c r="O457" i="2" s="1"/>
  <c r="X460" i="2"/>
  <c r="Z436" i="2"/>
  <c r="Q436" i="2"/>
  <c r="AA436" i="2" s="1"/>
  <c r="U437" i="2"/>
  <c r="Y441" i="2"/>
  <c r="Y442" i="2"/>
  <c r="Q450" i="2"/>
  <c r="AA450" i="2" s="1"/>
  <c r="Z450" i="2"/>
  <c r="Q458" i="2"/>
  <c r="AA458" i="2" s="1"/>
  <c r="Z458" i="2"/>
  <c r="X458" i="2"/>
  <c r="N473" i="2"/>
  <c r="O473" i="2" s="1"/>
  <c r="X461" i="2"/>
  <c r="U462" i="2"/>
  <c r="Y461" i="2"/>
  <c r="Y465" i="2"/>
  <c r="Y469" i="2"/>
  <c r="Y473" i="2"/>
  <c r="AA461" i="2"/>
  <c r="X462" i="2"/>
  <c r="AA465" i="2"/>
  <c r="X466" i="2"/>
  <c r="Z462" i="2"/>
  <c r="Z466" i="2"/>
  <c r="Z470" i="2"/>
  <c r="Z474" i="2"/>
  <c r="V473" i="2"/>
  <c r="W16" i="2" l="1"/>
  <c r="V16" i="2"/>
  <c r="W465" i="2"/>
  <c r="V465" i="2"/>
  <c r="W208" i="2"/>
  <c r="V208" i="2"/>
  <c r="V277" i="2"/>
  <c r="W277" i="2"/>
  <c r="V103" i="2"/>
  <c r="W103" i="2"/>
  <c r="W144" i="2"/>
  <c r="V144" i="2"/>
  <c r="W132" i="2"/>
  <c r="V132" i="2"/>
  <c r="W8" i="2"/>
  <c r="V8" i="2"/>
  <c r="W212" i="2"/>
  <c r="V212" i="2"/>
  <c r="W327" i="2"/>
  <c r="V327" i="2"/>
  <c r="W140" i="2"/>
  <c r="V140" i="2"/>
  <c r="V179" i="2"/>
  <c r="W179" i="2"/>
  <c r="W461" i="2"/>
  <c r="V461" i="2"/>
  <c r="W424" i="2"/>
  <c r="V424" i="2"/>
  <c r="W440" i="2"/>
  <c r="V440" i="2"/>
  <c r="V466" i="2"/>
  <c r="W466" i="2"/>
  <c r="W400" i="2"/>
  <c r="V400" i="2"/>
  <c r="V249" i="2"/>
  <c r="W249" i="2"/>
  <c r="W436" i="2"/>
  <c r="V436" i="2"/>
  <c r="V269" i="2"/>
  <c r="W269" i="2"/>
  <c r="W471" i="2"/>
  <c r="V471" i="2"/>
  <c r="W351" i="2"/>
  <c r="V351" i="2"/>
  <c r="W156" i="2"/>
  <c r="V156" i="2"/>
  <c r="W93" i="2"/>
  <c r="V93" i="2"/>
  <c r="W24" i="2"/>
  <c r="V24" i="2"/>
  <c r="W36" i="2"/>
  <c r="V36" i="2"/>
  <c r="V403" i="2"/>
  <c r="W403" i="2"/>
  <c r="W28" i="2"/>
  <c r="V28" i="2"/>
  <c r="W92" i="2"/>
  <c r="V92" i="2"/>
  <c r="V228" i="2"/>
  <c r="W228" i="2"/>
  <c r="W121" i="2"/>
  <c r="V121" i="2"/>
  <c r="W100" i="2"/>
  <c r="V100" i="2"/>
  <c r="W443" i="2"/>
  <c r="V443" i="2"/>
  <c r="V115" i="2"/>
  <c r="W115" i="2"/>
  <c r="V147" i="2"/>
  <c r="W147" i="2"/>
  <c r="W52" i="2"/>
  <c r="V52" i="2"/>
  <c r="W128" i="2"/>
  <c r="V128" i="2"/>
  <c r="W412" i="2"/>
  <c r="V412" i="2"/>
  <c r="W469" i="2"/>
  <c r="V469" i="2"/>
  <c r="W421" i="2"/>
  <c r="V421" i="2"/>
  <c r="W160" i="2"/>
  <c r="V160" i="2"/>
  <c r="W88" i="2"/>
  <c r="V88" i="2"/>
  <c r="W149" i="2"/>
  <c r="V149" i="2"/>
  <c r="V396" i="2"/>
  <c r="W396" i="2"/>
  <c r="W453" i="2"/>
  <c r="V453" i="2"/>
  <c r="W153" i="2"/>
  <c r="V153" i="2"/>
  <c r="W64" i="2"/>
  <c r="V64" i="2"/>
  <c r="W141" i="2"/>
  <c r="V141" i="2"/>
  <c r="V180" i="2"/>
  <c r="W180" i="2"/>
  <c r="V404" i="2"/>
  <c r="W404" i="2"/>
  <c r="W165" i="2"/>
  <c r="V165" i="2"/>
  <c r="W232" i="2"/>
  <c r="V232" i="2"/>
  <c r="W84" i="2"/>
  <c r="V84" i="2"/>
  <c r="W125" i="2"/>
  <c r="V125" i="2"/>
  <c r="W224" i="2"/>
  <c r="V224" i="2"/>
  <c r="V120" i="2"/>
  <c r="W120" i="2"/>
  <c r="W157" i="2"/>
  <c r="V157" i="2"/>
  <c r="V101" i="2"/>
  <c r="W101" i="2"/>
  <c r="W33" i="2"/>
  <c r="V33" i="2"/>
  <c r="V61" i="2"/>
  <c r="W61" i="2"/>
  <c r="V112" i="2"/>
  <c r="W112" i="2"/>
  <c r="V124" i="2"/>
  <c r="W124" i="2"/>
  <c r="W137" i="2"/>
  <c r="V137" i="2"/>
  <c r="V220" i="2"/>
  <c r="W220" i="2"/>
  <c r="V458" i="2"/>
  <c r="W458" i="2"/>
  <c r="W109" i="2"/>
  <c r="V109" i="2"/>
  <c r="V393" i="2"/>
  <c r="W393" i="2"/>
  <c r="W76" i="2"/>
  <c r="V76" i="2"/>
  <c r="V168" i="2"/>
  <c r="W168" i="2"/>
  <c r="W176" i="2"/>
  <c r="V176" i="2"/>
  <c r="V313" i="2"/>
  <c r="W313" i="2"/>
  <c r="V104" i="2"/>
  <c r="W104" i="2"/>
  <c r="W32" i="2"/>
  <c r="V32" i="2"/>
  <c r="W44" i="2"/>
  <c r="V44" i="2"/>
  <c r="W136" i="2"/>
  <c r="V136" i="2"/>
  <c r="V253" i="2"/>
  <c r="W253" i="2"/>
  <c r="V114" i="2"/>
  <c r="W114" i="2"/>
  <c r="W20" i="2"/>
  <c r="V20" i="2"/>
  <c r="V13" i="2"/>
  <c r="W13" i="2"/>
  <c r="W72" i="2"/>
  <c r="V72" i="2"/>
  <c r="V106" i="2"/>
  <c r="W106" i="2"/>
  <c r="W116" i="2"/>
  <c r="V116" i="2"/>
  <c r="W161" i="2"/>
  <c r="V161" i="2"/>
  <c r="V207" i="2"/>
  <c r="W207" i="2"/>
  <c r="W133" i="2"/>
  <c r="V133" i="2"/>
  <c r="W145" i="2"/>
  <c r="V145" i="2"/>
  <c r="W408" i="2"/>
  <c r="V408" i="2"/>
  <c r="W447" i="2"/>
  <c r="V447" i="2"/>
  <c r="W449" i="2"/>
  <c r="V449" i="2"/>
  <c r="W68" i="2"/>
  <c r="V68" i="2"/>
  <c r="W4" i="2"/>
  <c r="V4" i="2"/>
  <c r="W273" i="2"/>
  <c r="W131" i="2"/>
  <c r="V12" i="2"/>
  <c r="W107" i="2"/>
  <c r="V433" i="2"/>
  <c r="V204" i="2"/>
  <c r="V343" i="2"/>
  <c r="V99" i="2"/>
  <c r="W127" i="2"/>
  <c r="V148" i="2"/>
  <c r="V216" i="2"/>
  <c r="V420" i="2"/>
  <c r="V152" i="2"/>
  <c r="W119" i="2"/>
  <c r="V416" i="2"/>
  <c r="W65" i="2"/>
  <c r="V409" i="2"/>
  <c r="V171" i="2"/>
  <c r="W171" i="2"/>
  <c r="V117" i="2"/>
  <c r="V167" i="2"/>
  <c r="W167" i="2"/>
  <c r="W257" i="2"/>
  <c r="V105" i="2"/>
  <c r="V96" i="2"/>
  <c r="W455" i="2"/>
  <c r="V455" i="2"/>
  <c r="W425" i="2"/>
  <c r="V425" i="2"/>
  <c r="W413" i="2"/>
  <c r="V413" i="2"/>
  <c r="V60" i="2"/>
  <c r="W401" i="2"/>
  <c r="V401" i="2"/>
  <c r="W459" i="2"/>
  <c r="V459" i="2"/>
  <c r="W475" i="2"/>
  <c r="V475" i="2"/>
  <c r="V474" i="2"/>
  <c r="W474" i="2"/>
  <c r="W467" i="2"/>
  <c r="V467" i="2"/>
  <c r="V388" i="2"/>
  <c r="W388" i="2"/>
  <c r="V175" i="2"/>
  <c r="W175" i="2"/>
  <c r="V123" i="2"/>
  <c r="W123" i="2"/>
  <c r="W428" i="2"/>
  <c r="V428" i="2"/>
  <c r="W417" i="2"/>
  <c r="V417" i="2"/>
  <c r="W391" i="2"/>
  <c r="V135" i="2"/>
  <c r="W135" i="2"/>
  <c r="V392" i="2"/>
  <c r="W392" i="2"/>
  <c r="W245" i="2"/>
  <c r="V113" i="2"/>
  <c r="V89" i="2"/>
  <c r="W89" i="2"/>
  <c r="V155" i="2"/>
  <c r="W155" i="2"/>
  <c r="W359" i="2"/>
  <c r="V359" i="2"/>
  <c r="V111" i="2"/>
  <c r="W111" i="2"/>
  <c r="W347" i="2"/>
  <c r="V347" i="2"/>
  <c r="W451" i="2"/>
  <c r="V451" i="2"/>
  <c r="V318" i="2"/>
  <c r="W318" i="2"/>
  <c r="V380" i="2"/>
  <c r="W380" i="2"/>
  <c r="V384" i="2"/>
  <c r="W384" i="2"/>
  <c r="W355" i="2"/>
  <c r="V355" i="2"/>
  <c r="W373" i="2"/>
  <c r="V373" i="2"/>
  <c r="V470" i="2"/>
  <c r="W470" i="2"/>
  <c r="W371" i="2"/>
  <c r="V371" i="2"/>
  <c r="W405" i="2"/>
  <c r="V405" i="2"/>
  <c r="V151" i="2"/>
  <c r="W151" i="2"/>
  <c r="W97" i="2"/>
  <c r="V97" i="2"/>
  <c r="V159" i="2"/>
  <c r="W159" i="2"/>
  <c r="V163" i="2"/>
  <c r="W163" i="2"/>
  <c r="V56" i="2"/>
  <c r="W363" i="2"/>
  <c r="V363" i="2"/>
  <c r="W200" i="2"/>
  <c r="V200" i="2"/>
  <c r="W314" i="2"/>
  <c r="V314" i="2"/>
  <c r="V172" i="2"/>
  <c r="V139" i="2"/>
  <c r="W139" i="2"/>
  <c r="W418" i="2"/>
  <c r="V418" i="2"/>
  <c r="W353" i="2"/>
  <c r="V353" i="2"/>
  <c r="V262" i="2"/>
  <c r="W262" i="2"/>
  <c r="W414" i="2"/>
  <c r="V414" i="2"/>
  <c r="W349" i="2"/>
  <c r="V349" i="2"/>
  <c r="V383" i="2"/>
  <c r="W383" i="2"/>
  <c r="W415" i="2"/>
  <c r="V415" i="2"/>
  <c r="V280" i="2"/>
  <c r="W280" i="2"/>
  <c r="W348" i="2"/>
  <c r="V348" i="2"/>
  <c r="W310" i="2"/>
  <c r="V310" i="2"/>
  <c r="W234" i="2"/>
  <c r="V234" i="2"/>
  <c r="W324" i="2"/>
  <c r="V324" i="2"/>
  <c r="V256" i="2"/>
  <c r="W256" i="2"/>
  <c r="W299" i="2"/>
  <c r="V299" i="2"/>
  <c r="W185" i="2"/>
  <c r="V185" i="2"/>
  <c r="V90" i="2"/>
  <c r="W90" i="2"/>
  <c r="V34" i="2"/>
  <c r="W34" i="2"/>
  <c r="W39" i="2"/>
  <c r="V39" i="2"/>
  <c r="W23" i="2"/>
  <c r="V23" i="2"/>
  <c r="V6" i="2"/>
  <c r="W6" i="2"/>
  <c r="W284" i="2"/>
  <c r="V284" i="2"/>
  <c r="W225" i="2"/>
  <c r="V225" i="2"/>
  <c r="W407" i="2"/>
  <c r="V407" i="2"/>
  <c r="V276" i="2"/>
  <c r="W276" i="2"/>
  <c r="W386" i="2"/>
  <c r="V386" i="2"/>
  <c r="W258" i="2"/>
  <c r="V258" i="2"/>
  <c r="V252" i="2"/>
  <c r="W252" i="2"/>
  <c r="W287" i="2"/>
  <c r="V287" i="2"/>
  <c r="W283" i="2"/>
  <c r="V283" i="2"/>
  <c r="W275" i="2"/>
  <c r="V275" i="2"/>
  <c r="W197" i="2"/>
  <c r="V197" i="2"/>
  <c r="V14" i="2"/>
  <c r="W14" i="2"/>
  <c r="W91" i="2"/>
  <c r="V91" i="2"/>
  <c r="W3" i="2"/>
  <c r="V3" i="2"/>
  <c r="W218" i="2"/>
  <c r="V218" i="2"/>
  <c r="V462" i="2"/>
  <c r="W462" i="2"/>
  <c r="W410" i="2"/>
  <c r="V410" i="2"/>
  <c r="W406" i="2"/>
  <c r="V406" i="2"/>
  <c r="W399" i="2"/>
  <c r="V399" i="2"/>
  <c r="W446" i="2"/>
  <c r="V446" i="2"/>
  <c r="W341" i="2"/>
  <c r="V341" i="2"/>
  <c r="W382" i="2"/>
  <c r="V382" i="2"/>
  <c r="W330" i="2"/>
  <c r="V330" i="2"/>
  <c r="V272" i="2"/>
  <c r="W272" i="2"/>
  <c r="W290" i="2"/>
  <c r="V290" i="2"/>
  <c r="W274" i="2"/>
  <c r="V274" i="2"/>
  <c r="V241" i="2"/>
  <c r="W241" i="2"/>
  <c r="W255" i="2"/>
  <c r="V255" i="2"/>
  <c r="W319" i="2"/>
  <c r="V319" i="2"/>
  <c r="W214" i="2"/>
  <c r="V214" i="2"/>
  <c r="W189" i="2"/>
  <c r="V189" i="2"/>
  <c r="W182" i="2"/>
  <c r="V182" i="2"/>
  <c r="W221" i="2"/>
  <c r="V221" i="2"/>
  <c r="W71" i="2"/>
  <c r="V71" i="2"/>
  <c r="W55" i="2"/>
  <c r="V55" i="2"/>
  <c r="W19" i="2"/>
  <c r="V19" i="2"/>
  <c r="W74" i="2"/>
  <c r="V74" i="2"/>
  <c r="W201" i="2"/>
  <c r="V201" i="2"/>
  <c r="W368" i="2"/>
  <c r="V368" i="2"/>
  <c r="W336" i="2"/>
  <c r="V336" i="2"/>
  <c r="W345" i="2"/>
  <c r="V345" i="2"/>
  <c r="W437" i="2"/>
  <c r="V437" i="2"/>
  <c r="W441" i="2"/>
  <c r="V441" i="2"/>
  <c r="W402" i="2"/>
  <c r="V402" i="2"/>
  <c r="W337" i="2"/>
  <c r="V337" i="2"/>
  <c r="W419" i="2"/>
  <c r="V419" i="2"/>
  <c r="W316" i="2"/>
  <c r="V316" i="2"/>
  <c r="V268" i="2"/>
  <c r="W268" i="2"/>
  <c r="W306" i="2"/>
  <c r="V306" i="2"/>
  <c r="V254" i="2"/>
  <c r="W254" i="2"/>
  <c r="W307" i="2"/>
  <c r="V307" i="2"/>
  <c r="W239" i="2"/>
  <c r="V239" i="2"/>
  <c r="W267" i="2"/>
  <c r="V267" i="2"/>
  <c r="W229" i="2"/>
  <c r="V229" i="2"/>
  <c r="W191" i="2"/>
  <c r="V191" i="2"/>
  <c r="W210" i="2"/>
  <c r="V210" i="2"/>
  <c r="W230" i="2"/>
  <c r="V230" i="2"/>
  <c r="W87" i="2"/>
  <c r="V87" i="2"/>
  <c r="W35" i="2"/>
  <c r="V35" i="2"/>
  <c r="V70" i="2"/>
  <c r="W70" i="2"/>
  <c r="W82" i="2"/>
  <c r="V82" i="2"/>
  <c r="W195" i="2"/>
  <c r="V195" i="2"/>
  <c r="W198" i="2"/>
  <c r="V198" i="2"/>
  <c r="V66" i="2"/>
  <c r="W66" i="2"/>
  <c r="V62" i="2"/>
  <c r="W62" i="2"/>
  <c r="W333" i="2"/>
  <c r="V333" i="2"/>
  <c r="W328" i="2"/>
  <c r="V328" i="2"/>
  <c r="W312" i="2"/>
  <c r="V312" i="2"/>
  <c r="V264" i="2"/>
  <c r="W264" i="2"/>
  <c r="W411" i="2"/>
  <c r="V411" i="2"/>
  <c r="V438" i="2"/>
  <c r="W438" i="2"/>
  <c r="W445" i="2"/>
  <c r="V445" i="2"/>
  <c r="W464" i="2"/>
  <c r="V464" i="2"/>
  <c r="W329" i="2"/>
  <c r="V329" i="2"/>
  <c r="W364" i="2"/>
  <c r="V364" i="2"/>
  <c r="W356" i="2"/>
  <c r="V356" i="2"/>
  <c r="W308" i="2"/>
  <c r="V308" i="2"/>
  <c r="V286" i="2"/>
  <c r="W286" i="2"/>
  <c r="V270" i="2"/>
  <c r="W270" i="2"/>
  <c r="W250" i="2"/>
  <c r="V250" i="2"/>
  <c r="V260" i="2"/>
  <c r="W260" i="2"/>
  <c r="W342" i="2"/>
  <c r="V342" i="2"/>
  <c r="W243" i="2"/>
  <c r="V243" i="2"/>
  <c r="W217" i="2"/>
  <c r="V217" i="2"/>
  <c r="W183" i="2"/>
  <c r="V183" i="2"/>
  <c r="W67" i="2"/>
  <c r="V67" i="2"/>
  <c r="W51" i="2"/>
  <c r="V51" i="2"/>
  <c r="W15" i="2"/>
  <c r="V15" i="2"/>
  <c r="V38" i="2"/>
  <c r="W38" i="2"/>
  <c r="W94" i="2"/>
  <c r="V94" i="2"/>
  <c r="W325" i="2"/>
  <c r="V325" i="2"/>
  <c r="W304" i="2"/>
  <c r="V304" i="2"/>
  <c r="W346" i="2"/>
  <c r="V346" i="2"/>
  <c r="W302" i="2"/>
  <c r="V302" i="2"/>
  <c r="W271" i="2"/>
  <c r="V271" i="2"/>
  <c r="W247" i="2"/>
  <c r="V247" i="2"/>
  <c r="W213" i="2"/>
  <c r="V213" i="2"/>
  <c r="V10" i="2"/>
  <c r="W10" i="2"/>
  <c r="W209" i="2"/>
  <c r="V209" i="2"/>
  <c r="W83" i="2"/>
  <c r="V83" i="2"/>
  <c r="W31" i="2"/>
  <c r="V31" i="2"/>
  <c r="V50" i="2"/>
  <c r="W50" i="2"/>
  <c r="W429" i="2"/>
  <c r="V429" i="2"/>
  <c r="W360" i="2"/>
  <c r="V360" i="2"/>
  <c r="W193" i="2"/>
  <c r="V193" i="2"/>
  <c r="V78" i="2"/>
  <c r="W78" i="2"/>
  <c r="W75" i="2"/>
  <c r="V75" i="2"/>
  <c r="W435" i="2"/>
  <c r="V435" i="2"/>
  <c r="W468" i="2"/>
  <c r="V468" i="2"/>
  <c r="V379" i="2"/>
  <c r="W379" i="2"/>
  <c r="W378" i="2"/>
  <c r="V378" i="2"/>
  <c r="W369" i="2"/>
  <c r="V369" i="2"/>
  <c r="W321" i="2"/>
  <c r="V321" i="2"/>
  <c r="W372" i="2"/>
  <c r="V372" i="2"/>
  <c r="W300" i="2"/>
  <c r="V300" i="2"/>
  <c r="W326" i="2"/>
  <c r="V326" i="2"/>
  <c r="V246" i="2"/>
  <c r="W246" i="2"/>
  <c r="W340" i="2"/>
  <c r="V340" i="2"/>
  <c r="W295" i="2"/>
  <c r="V295" i="2"/>
  <c r="W291" i="2"/>
  <c r="V291" i="2"/>
  <c r="W226" i="2"/>
  <c r="V226" i="2"/>
  <c r="W205" i="2"/>
  <c r="V205" i="2"/>
  <c r="W186" i="2"/>
  <c r="V186" i="2"/>
  <c r="W184" i="2"/>
  <c r="V184" i="2"/>
  <c r="W259" i="2"/>
  <c r="V259" i="2"/>
  <c r="W11" i="2"/>
  <c r="V11" i="2"/>
  <c r="V46" i="2"/>
  <c r="W46" i="2"/>
  <c r="W352" i="2"/>
  <c r="V352" i="2"/>
  <c r="W294" i="2"/>
  <c r="V294" i="2"/>
  <c r="W194" i="2"/>
  <c r="V194" i="2"/>
  <c r="W95" i="2"/>
  <c r="V95" i="2"/>
  <c r="W59" i="2"/>
  <c r="V59" i="2"/>
  <c r="W427" i="2"/>
  <c r="V427" i="2"/>
  <c r="W460" i="2"/>
  <c r="V460" i="2"/>
  <c r="W434" i="2"/>
  <c r="V434" i="2"/>
  <c r="W456" i="2"/>
  <c r="V456" i="2"/>
  <c r="W430" i="2"/>
  <c r="V430" i="2"/>
  <c r="W365" i="2"/>
  <c r="V365" i="2"/>
  <c r="W323" i="2"/>
  <c r="V323" i="2"/>
  <c r="W296" i="2"/>
  <c r="V296" i="2"/>
  <c r="W344" i="2"/>
  <c r="V344" i="2"/>
  <c r="W282" i="2"/>
  <c r="V282" i="2"/>
  <c r="W266" i="2"/>
  <c r="V266" i="2"/>
  <c r="W334" i="2"/>
  <c r="V334" i="2"/>
  <c r="W315" i="2"/>
  <c r="V315" i="2"/>
  <c r="W279" i="2"/>
  <c r="V279" i="2"/>
  <c r="V248" i="2"/>
  <c r="W248" i="2"/>
  <c r="W311" i="2"/>
  <c r="V311" i="2"/>
  <c r="W251" i="2"/>
  <c r="V251" i="2"/>
  <c r="W63" i="2"/>
  <c r="V63" i="2"/>
  <c r="W47" i="2"/>
  <c r="V47" i="2"/>
  <c r="W278" i="2"/>
  <c r="V278" i="2"/>
  <c r="V18" i="2"/>
  <c r="W18" i="2"/>
  <c r="V398" i="2"/>
  <c r="W398" i="2"/>
  <c r="W394" i="2"/>
  <c r="V394" i="2"/>
  <c r="W472" i="2"/>
  <c r="V472" i="2"/>
  <c r="W426" i="2"/>
  <c r="V426" i="2"/>
  <c r="W390" i="2"/>
  <c r="V390" i="2"/>
  <c r="W423" i="2"/>
  <c r="V423" i="2"/>
  <c r="W375" i="2"/>
  <c r="V375" i="2"/>
  <c r="W377" i="2"/>
  <c r="V377" i="2"/>
  <c r="W361" i="2"/>
  <c r="V361" i="2"/>
  <c r="W292" i="2"/>
  <c r="V292" i="2"/>
  <c r="W338" i="2"/>
  <c r="V338" i="2"/>
  <c r="V298" i="2"/>
  <c r="W298" i="2"/>
  <c r="W242" i="2"/>
  <c r="V242" i="2"/>
  <c r="V244" i="2"/>
  <c r="W244" i="2"/>
  <c r="W202" i="2"/>
  <c r="V202" i="2"/>
  <c r="W222" i="2"/>
  <c r="V222" i="2"/>
  <c r="V98" i="2"/>
  <c r="W98" i="2"/>
  <c r="W79" i="2"/>
  <c r="V79" i="2"/>
  <c r="W27" i="2"/>
  <c r="V27" i="2"/>
  <c r="V58" i="2"/>
  <c r="W58" i="2"/>
  <c r="W187" i="2"/>
  <c r="V187" i="2"/>
  <c r="W322" i="2"/>
  <c r="V322" i="2"/>
  <c r="W439" i="2"/>
  <c r="V439" i="2"/>
  <c r="W452" i="2"/>
  <c r="V452" i="2"/>
  <c r="W422" i="2"/>
  <c r="V422" i="2"/>
  <c r="W357" i="2"/>
  <c r="V357" i="2"/>
  <c r="W431" i="2"/>
  <c r="V431" i="2"/>
  <c r="W288" i="2"/>
  <c r="V288" i="2"/>
  <c r="W350" i="2"/>
  <c r="V350" i="2"/>
  <c r="W457" i="2"/>
  <c r="V457" i="2"/>
  <c r="W332" i="2"/>
  <c r="V332" i="2"/>
  <c r="W263" i="2"/>
  <c r="V263" i="2"/>
  <c r="V240" i="2"/>
  <c r="W240" i="2"/>
  <c r="W303" i="2"/>
  <c r="V303" i="2"/>
  <c r="W206" i="2"/>
  <c r="V206" i="2"/>
  <c r="W190" i="2"/>
  <c r="V190" i="2"/>
  <c r="W43" i="2"/>
  <c r="V43" i="2"/>
  <c r="W7" i="2"/>
  <c r="V7" i="2"/>
  <c r="V22" i="2"/>
  <c r="W22" i="2"/>
</calcChain>
</file>

<file path=xl/sharedStrings.xml><?xml version="1.0" encoding="utf-8"?>
<sst xmlns="http://schemas.openxmlformats.org/spreadsheetml/2006/main" count="1019" uniqueCount="843">
  <si>
    <t>Tarifa</t>
  </si>
  <si>
    <t>% da Tarifa</t>
  </si>
  <si>
    <t>Tarifa Fixa</t>
  </si>
  <si>
    <t>Frete</t>
  </si>
  <si>
    <t>Custo do Produto</t>
  </si>
  <si>
    <t>Imposto</t>
  </si>
  <si>
    <t>Lucro Líquido</t>
  </si>
  <si>
    <t>% líquida</t>
  </si>
  <si>
    <t>Alíquota Imposto:</t>
  </si>
  <si>
    <t>SKU</t>
  </si>
  <si>
    <t>ID do Produto</t>
  </si>
  <si>
    <t>Clássico</t>
  </si>
  <si>
    <t>Premium</t>
  </si>
  <si>
    <t>%</t>
  </si>
  <si>
    <t>R$</t>
  </si>
  <si>
    <t>100-1</t>
  </si>
  <si>
    <t>MLB2137639951</t>
  </si>
  <si>
    <t>050-12</t>
  </si>
  <si>
    <t>MLB2137635536</t>
  </si>
  <si>
    <t>1438</t>
  </si>
  <si>
    <t>MLB3763959680</t>
  </si>
  <si>
    <t>4147</t>
  </si>
  <si>
    <t>MLB3763917574</t>
  </si>
  <si>
    <t>MLB3364027733</t>
  </si>
  <si>
    <t>NS-3334</t>
  </si>
  <si>
    <t>MLB3363653499</t>
  </si>
  <si>
    <t>MLB3363653511</t>
  </si>
  <si>
    <t>4146</t>
  </si>
  <si>
    <t>MLB3765615978</t>
  </si>
  <si>
    <t>MLB3765603882</t>
  </si>
  <si>
    <t>263</t>
  </si>
  <si>
    <t>MLB3764581220</t>
  </si>
  <si>
    <t>(sem custo)</t>
  </si>
  <si>
    <t>MLB3764581218</t>
  </si>
  <si>
    <t>MLB3364459681</t>
  </si>
  <si>
    <t>HDN95</t>
  </si>
  <si>
    <t>MLB5135724200</t>
  </si>
  <si>
    <t>MLB5135724194</t>
  </si>
  <si>
    <t>MLB5135684068</t>
  </si>
  <si>
    <t>6xCB2478</t>
  </si>
  <si>
    <t>MLB5138296360</t>
  </si>
  <si>
    <t>MLB5138258612</t>
  </si>
  <si>
    <t>099011</t>
  </si>
  <si>
    <t>MLB5147332322</t>
  </si>
  <si>
    <t>MLB5147282870</t>
  </si>
  <si>
    <t>MLB5147282426</t>
  </si>
  <si>
    <t>112719</t>
  </si>
  <si>
    <t>MLB5147070778</t>
  </si>
  <si>
    <t>MLB3892390903</t>
  </si>
  <si>
    <t>CK5210</t>
  </si>
  <si>
    <t>MLB5150786208</t>
  </si>
  <si>
    <t>2xCK5210</t>
  </si>
  <si>
    <t>MLB5150738088</t>
  </si>
  <si>
    <t>MLB5150721788</t>
  </si>
  <si>
    <t>6xCZ22645</t>
  </si>
  <si>
    <t>MLB3898719379</t>
  </si>
  <si>
    <t>MLB3898706337</t>
  </si>
  <si>
    <t>8XCZ22645</t>
  </si>
  <si>
    <t>MLB5164109044</t>
  </si>
  <si>
    <t>6xCB1934</t>
  </si>
  <si>
    <t>MLB5163781334</t>
  </si>
  <si>
    <t>MLB3901744613</t>
  </si>
  <si>
    <t>MLB3901720851</t>
  </si>
  <si>
    <t>10xCB2478</t>
  </si>
  <si>
    <t>MLB5166935540</t>
  </si>
  <si>
    <t>MLB5166910262</t>
  </si>
  <si>
    <t>8xCB2478</t>
  </si>
  <si>
    <t>MLB3902634281</t>
  </si>
  <si>
    <t>MLB3902620271</t>
  </si>
  <si>
    <t>MLB3904418821</t>
  </si>
  <si>
    <t>MLB3904367691</t>
  </si>
  <si>
    <t>098922</t>
  </si>
  <si>
    <t>MLB5207519650</t>
  </si>
  <si>
    <t>060726</t>
  </si>
  <si>
    <t>MLB5207477114</t>
  </si>
  <si>
    <t>MLB5207477110</t>
  </si>
  <si>
    <t>MLB3925289657</t>
  </si>
  <si>
    <t>MLB3925289607</t>
  </si>
  <si>
    <t>MLB3925251465</t>
  </si>
  <si>
    <t>2xCB2478</t>
  </si>
  <si>
    <t>MLB5220538380</t>
  </si>
  <si>
    <t>6xCB2480</t>
  </si>
  <si>
    <t>MLB3955992483</t>
  </si>
  <si>
    <t>CK6522</t>
  </si>
  <si>
    <t>MLB3955987083</t>
  </si>
  <si>
    <t>MLB3955966115</t>
  </si>
  <si>
    <t>MLB3955934921</t>
  </si>
  <si>
    <t>3173</t>
  </si>
  <si>
    <t>MLB3957065309</t>
  </si>
  <si>
    <t>MLB3957065307</t>
  </si>
  <si>
    <t>2xCK6522</t>
  </si>
  <si>
    <t>MLB3965063953</t>
  </si>
  <si>
    <t>(sem SKU)</t>
  </si>
  <si>
    <t>MLB5278980084</t>
  </si>
  <si>
    <t>MLB5278980078</t>
  </si>
  <si>
    <t>1996</t>
  </si>
  <si>
    <t>MLB5278908538</t>
  </si>
  <si>
    <t>1441</t>
  </si>
  <si>
    <t>MLB5278894272</t>
  </si>
  <si>
    <t>5263</t>
  </si>
  <si>
    <t>MLB5278805726</t>
  </si>
  <si>
    <t>5608</t>
  </si>
  <si>
    <t>MLB3969057281</t>
  </si>
  <si>
    <t>MLB3969043499</t>
  </si>
  <si>
    <t>1439</t>
  </si>
  <si>
    <t>MLB3969029803</t>
  </si>
  <si>
    <t>MLB3968991839</t>
  </si>
  <si>
    <t>MLB3968988637</t>
  </si>
  <si>
    <t>MLB3968927705</t>
  </si>
  <si>
    <t>4xCB2480</t>
  </si>
  <si>
    <t>MLB5286768786</t>
  </si>
  <si>
    <t>MLB5286716122</t>
  </si>
  <si>
    <t>CB2522</t>
  </si>
  <si>
    <t>MLB5286662838</t>
  </si>
  <si>
    <t>MLB5286611378</t>
  </si>
  <si>
    <t>MLB5290379670</t>
  </si>
  <si>
    <t>MLB5310090748</t>
  </si>
  <si>
    <t>MLB5309961666</t>
  </si>
  <si>
    <t>4xCB2479</t>
  </si>
  <si>
    <t>MLB5320456716</t>
  </si>
  <si>
    <t>2xCK7128</t>
  </si>
  <si>
    <t>MLB5320366398</t>
  </si>
  <si>
    <t>2xCB2479</t>
  </si>
  <si>
    <t>MLB5320340824</t>
  </si>
  <si>
    <t>CB2479</t>
  </si>
  <si>
    <t>MLB5320301282</t>
  </si>
  <si>
    <t>MLB5320238940</t>
  </si>
  <si>
    <t>MLB4006470251</t>
  </si>
  <si>
    <t>2xCK4423</t>
  </si>
  <si>
    <t>MLB4006403327</t>
  </si>
  <si>
    <t>CK4423</t>
  </si>
  <si>
    <t>MLB4006389399</t>
  </si>
  <si>
    <t>MLB4006259841</t>
  </si>
  <si>
    <t>CB2166</t>
  </si>
  <si>
    <t>MLB4009425621</t>
  </si>
  <si>
    <t>CB4338-25</t>
  </si>
  <si>
    <t>MLB5774291598</t>
  </si>
  <si>
    <t>CB4338-1</t>
  </si>
  <si>
    <t>MLB5774291596</t>
  </si>
  <si>
    <t>CB0237-4</t>
  </si>
  <si>
    <t>MLB5772694168</t>
  </si>
  <si>
    <t>CB0237-3</t>
  </si>
  <si>
    <t>MLB5772694166</t>
  </si>
  <si>
    <t>MLB5327767940</t>
  </si>
  <si>
    <t>K521-R</t>
  </si>
  <si>
    <t>MLB4015097191</t>
  </si>
  <si>
    <t>K521-R PT</t>
  </si>
  <si>
    <t>MLB4015097185</t>
  </si>
  <si>
    <t>4xDT24294</t>
  </si>
  <si>
    <t>MLB5333236452</t>
  </si>
  <si>
    <t>6xDT24293</t>
  </si>
  <si>
    <t>MLB5333234016</t>
  </si>
  <si>
    <t>2xDT24293</t>
  </si>
  <si>
    <t>MLB5333193786</t>
  </si>
  <si>
    <t>4xDT24293</t>
  </si>
  <si>
    <t>MLB5333168980</t>
  </si>
  <si>
    <t>2xDT24294</t>
  </si>
  <si>
    <t>MLB5333157974</t>
  </si>
  <si>
    <t>8xDT24293</t>
  </si>
  <si>
    <t>MLB5333130882</t>
  </si>
  <si>
    <t>MLB5333119870</t>
  </si>
  <si>
    <t>MLB5333077230</t>
  </si>
  <si>
    <t>MLB5333067282</t>
  </si>
  <si>
    <t>MLB5333065044</t>
  </si>
  <si>
    <t>MLB5333041018</t>
  </si>
  <si>
    <t>MLB4016180907</t>
  </si>
  <si>
    <t>MLB5336283558</t>
  </si>
  <si>
    <t>CA-604B-PRO</t>
  </si>
  <si>
    <t>MLB5340354622</t>
  </si>
  <si>
    <t>MLB4022872149</t>
  </si>
  <si>
    <t>MLB4031988609</t>
  </si>
  <si>
    <t>6x1752</t>
  </si>
  <si>
    <t>MLB5352370974</t>
  </si>
  <si>
    <t>CB4339-25</t>
  </si>
  <si>
    <t>MLB5774291682</t>
  </si>
  <si>
    <t>CB4339-24</t>
  </si>
  <si>
    <t>MLB5774291680</t>
  </si>
  <si>
    <t>MLB5772694164</t>
  </si>
  <si>
    <t>MLB5772694162</t>
  </si>
  <si>
    <t>MLB4056396153</t>
  </si>
  <si>
    <t>5754</t>
  </si>
  <si>
    <t>MLB4057830859</t>
  </si>
  <si>
    <t>MLB4057830727</t>
  </si>
  <si>
    <t>MLB4057766213</t>
  </si>
  <si>
    <t>6293</t>
  </si>
  <si>
    <t>MLB4057728293</t>
  </si>
  <si>
    <t>MLB4057714769</t>
  </si>
  <si>
    <t>MLB4057703033</t>
  </si>
  <si>
    <t>MLB4057651799</t>
  </si>
  <si>
    <t>MLB4057651719</t>
  </si>
  <si>
    <t>5609</t>
  </si>
  <si>
    <t>MLB4059917767</t>
  </si>
  <si>
    <t>4974-1</t>
  </si>
  <si>
    <t>MLB5386399406</t>
  </si>
  <si>
    <t>MLB4061126599</t>
  </si>
  <si>
    <t>MLB5391933040</t>
  </si>
  <si>
    <t>MLB5391880310</t>
  </si>
  <si>
    <t>MLB4064909835</t>
  </si>
  <si>
    <t>550</t>
  </si>
  <si>
    <t>MLB5395418452</t>
  </si>
  <si>
    <t>CK5438</t>
  </si>
  <si>
    <t>MLB5395356988</t>
  </si>
  <si>
    <t>4xCK3561</t>
  </si>
  <si>
    <t>MLB5395277304</t>
  </si>
  <si>
    <t>3xCK3561</t>
  </si>
  <si>
    <t>MLB5395277146</t>
  </si>
  <si>
    <t>549</t>
  </si>
  <si>
    <t>MLB5395257342</t>
  </si>
  <si>
    <t>MLB5395232304</t>
  </si>
  <si>
    <t>MLB5395228364</t>
  </si>
  <si>
    <t>554</t>
  </si>
  <si>
    <t>MLB4067496259</t>
  </si>
  <si>
    <t>600</t>
  </si>
  <si>
    <t>MLB4067381909</t>
  </si>
  <si>
    <t>MLB4067298267</t>
  </si>
  <si>
    <t>MLB5396775700</t>
  </si>
  <si>
    <t>MLB5396698220</t>
  </si>
  <si>
    <t>6xCK7584-Clone</t>
  </si>
  <si>
    <t>MLB5406986088</t>
  </si>
  <si>
    <t>4xCK7584-Clone</t>
  </si>
  <si>
    <t>MLB4077545579</t>
  </si>
  <si>
    <t>3xCK7584-Clone</t>
  </si>
  <si>
    <t>MLB4077508999</t>
  </si>
  <si>
    <t>CK6620</t>
  </si>
  <si>
    <t>MLB5416219840</t>
  </si>
  <si>
    <t>MLB4084548017</t>
  </si>
  <si>
    <t>MLB4084492151</t>
  </si>
  <si>
    <t>CZ19277</t>
  </si>
  <si>
    <t>MLB5419530768</t>
  </si>
  <si>
    <t>MLB4086746211</t>
  </si>
  <si>
    <t>2xCB1717-7</t>
  </si>
  <si>
    <t>MLB5780023662</t>
  </si>
  <si>
    <t>2xCB1717-3</t>
  </si>
  <si>
    <t>MLB5780023660</t>
  </si>
  <si>
    <t>2xCB1717-5</t>
  </si>
  <si>
    <t>MLB5780023656</t>
  </si>
  <si>
    <t>CB1717-7</t>
  </si>
  <si>
    <t>MLB5774294138</t>
  </si>
  <si>
    <t>CB1717-3</t>
  </si>
  <si>
    <t>MLB5774294136</t>
  </si>
  <si>
    <t>CB1717-5</t>
  </si>
  <si>
    <t>MLB5774294132</t>
  </si>
  <si>
    <t>CK6300</t>
  </si>
  <si>
    <t>MLB5421165332</t>
  </si>
  <si>
    <t>5xTRC0848-Clone</t>
  </si>
  <si>
    <t>MLB5421151518</t>
  </si>
  <si>
    <t>MLB5421104810</t>
  </si>
  <si>
    <t>MLB5420751958</t>
  </si>
  <si>
    <t>TRC6901</t>
  </si>
  <si>
    <t>MLB4088341967</t>
  </si>
  <si>
    <t>MLB4087959463</t>
  </si>
  <si>
    <t>3xTRC0848-Clone</t>
  </si>
  <si>
    <t>MLB5431621854</t>
  </si>
  <si>
    <t>4xTRC0848-Clone</t>
  </si>
  <si>
    <t>MLB5431492574</t>
  </si>
  <si>
    <t>CK5317</t>
  </si>
  <si>
    <t>MLB5431491738</t>
  </si>
  <si>
    <t>CB2511</t>
  </si>
  <si>
    <t>MLB4094003087</t>
  </si>
  <si>
    <t>MLB5441050016</t>
  </si>
  <si>
    <t>MLB5441000514</t>
  </si>
  <si>
    <t>MLB5441000352</t>
  </si>
  <si>
    <t>2xCB2511</t>
  </si>
  <si>
    <t>MLB4096849459</t>
  </si>
  <si>
    <t>3xCK7170-clone</t>
  </si>
  <si>
    <t>MLB5444951114</t>
  </si>
  <si>
    <t>2xCK7170-Clone</t>
  </si>
  <si>
    <t>MLB5444936350</t>
  </si>
  <si>
    <t>CK2055-Clone</t>
  </si>
  <si>
    <t>MLB5444927628</t>
  </si>
  <si>
    <t>2xCK2055-Clone</t>
  </si>
  <si>
    <t>MLB4099319061</t>
  </si>
  <si>
    <t>CK7170-Clone</t>
  </si>
  <si>
    <t>MLB4099302293</t>
  </si>
  <si>
    <t>CK4593</t>
  </si>
  <si>
    <t>MLB4099234859</t>
  </si>
  <si>
    <t>2xCB2781-clone</t>
  </si>
  <si>
    <t>MLB5449204028</t>
  </si>
  <si>
    <t>CB2781-clone</t>
  </si>
  <si>
    <t>MLB5449190806</t>
  </si>
  <si>
    <t>1xTRC0574-clone</t>
  </si>
  <si>
    <t>MLB5477026804</t>
  </si>
  <si>
    <t>2xTRC0574-clone</t>
  </si>
  <si>
    <t>MLB5476923260</t>
  </si>
  <si>
    <t>MLB4115612245</t>
  </si>
  <si>
    <t>4xTRC7122-5-clone</t>
  </si>
  <si>
    <t>MLB4115610897</t>
  </si>
  <si>
    <t>MLB4115573781</t>
  </si>
  <si>
    <t>MLB4115573267</t>
  </si>
  <si>
    <t>MLB4115572191</t>
  </si>
  <si>
    <t>MLB5496677466</t>
  </si>
  <si>
    <t>1xCK4593-1</t>
  </si>
  <si>
    <t>MLB5496498386</t>
  </si>
  <si>
    <t>MLB4125251415</t>
  </si>
  <si>
    <t>4xCZ22645</t>
  </si>
  <si>
    <t>MLB5512142750</t>
  </si>
  <si>
    <t>MLB5512142626</t>
  </si>
  <si>
    <t>10xCZ22645</t>
  </si>
  <si>
    <t>MLB5512111810</t>
  </si>
  <si>
    <t>2xCZ22645</t>
  </si>
  <si>
    <t>MLB5512039666</t>
  </si>
  <si>
    <t>4xCB1934</t>
  </si>
  <si>
    <t>MLB5512014930</t>
  </si>
  <si>
    <t>1xCZ231294-clone</t>
  </si>
  <si>
    <t>MLB5534425262</t>
  </si>
  <si>
    <t>GS590</t>
  </si>
  <si>
    <t>MLB5547182620</t>
  </si>
  <si>
    <t>MLB4150854181</t>
  </si>
  <si>
    <t>MLB4150854079</t>
  </si>
  <si>
    <t>MLB4150763239</t>
  </si>
  <si>
    <t>6xNS-3340</t>
  </si>
  <si>
    <t>MLB5579924542</t>
  </si>
  <si>
    <t>8xNS-3340</t>
  </si>
  <si>
    <t>MLB5579911570</t>
  </si>
  <si>
    <t>4xNS-3340</t>
  </si>
  <si>
    <t>MLB5579899142</t>
  </si>
  <si>
    <t>2xNS-3340</t>
  </si>
  <si>
    <t>MLB5579860680</t>
  </si>
  <si>
    <t>MLB4163254437</t>
  </si>
  <si>
    <t>2xTRC6887-clone</t>
  </si>
  <si>
    <t>MLB4163240185</t>
  </si>
  <si>
    <t>1xTRC6887-clone</t>
  </si>
  <si>
    <t>MLB4163214371</t>
  </si>
  <si>
    <t>MLB4163202551</t>
  </si>
  <si>
    <t>MLB4163163503</t>
  </si>
  <si>
    <t>3xTRC6887-clone</t>
  </si>
  <si>
    <t>MLB4163123661</t>
  </si>
  <si>
    <t>4xTRC6887-clone</t>
  </si>
  <si>
    <t>MLB4163110099</t>
  </si>
  <si>
    <t>5xTRC6887-clone</t>
  </si>
  <si>
    <t>MLB4163101507</t>
  </si>
  <si>
    <t>10xTRC6887-clone</t>
  </si>
  <si>
    <t>MLB4163066365</t>
  </si>
  <si>
    <t>10xNS-3340</t>
  </si>
  <si>
    <t>MLB4163042091</t>
  </si>
  <si>
    <t>2xCK5438</t>
  </si>
  <si>
    <t>MLB4163040721</t>
  </si>
  <si>
    <t>CB0238-4</t>
  </si>
  <si>
    <t>MLB5774291678</t>
  </si>
  <si>
    <t>CB0238-12</t>
  </si>
  <si>
    <t>MLB5774291676</t>
  </si>
  <si>
    <t>CB0238-3</t>
  </si>
  <si>
    <t>MLB5774291674</t>
  </si>
  <si>
    <t>CB0236-12</t>
  </si>
  <si>
    <t>MLB5772694156</t>
  </si>
  <si>
    <t>CB0236-3</t>
  </si>
  <si>
    <t>MLB5772694154</t>
  </si>
  <si>
    <t>CB0236-4</t>
  </si>
  <si>
    <t>MLB5772694152</t>
  </si>
  <si>
    <t>MLB4167838045</t>
  </si>
  <si>
    <t>2xCK7025</t>
  </si>
  <si>
    <t>MLB4201674839</t>
  </si>
  <si>
    <t>CK5727</t>
  </si>
  <si>
    <t>MLB4201610341</t>
  </si>
  <si>
    <t>5xCK5727</t>
  </si>
  <si>
    <t>MLB4201585229</t>
  </si>
  <si>
    <t>1xCK7025</t>
  </si>
  <si>
    <t>MLB4201560831</t>
  </si>
  <si>
    <t>2xCB2477</t>
  </si>
  <si>
    <t>MLB5735691966</t>
  </si>
  <si>
    <t>4xCB2478</t>
  </si>
  <si>
    <t>MLB5735691068</t>
  </si>
  <si>
    <t>MLB5735651882</t>
  </si>
  <si>
    <t>4xCB2477</t>
  </si>
  <si>
    <t>MLB4219140111</t>
  </si>
  <si>
    <t>MLB4219075731</t>
  </si>
  <si>
    <t>MLB4218957679</t>
  </si>
  <si>
    <t>8xCB1934</t>
  </si>
  <si>
    <t>MLB4218762393</t>
  </si>
  <si>
    <t>CB2480</t>
  </si>
  <si>
    <t>MLB4218707797</t>
  </si>
  <si>
    <t>2xCB2480</t>
  </si>
  <si>
    <t>MLB4218628653</t>
  </si>
  <si>
    <t>MLB4218551241</t>
  </si>
  <si>
    <t>MLB5605382316</t>
  </si>
  <si>
    <t>MLB5739568808</t>
  </si>
  <si>
    <t>MLB5739529326</t>
  </si>
  <si>
    <t>2xCB1572-7</t>
  </si>
  <si>
    <t>MLB5770937074</t>
  </si>
  <si>
    <t>CB1572-7</t>
  </si>
  <si>
    <t>MLB5770936614</t>
  </si>
  <si>
    <t>2xCB1572-3</t>
  </si>
  <si>
    <t>MLB5770822120</t>
  </si>
  <si>
    <t>2xCB1572-5</t>
  </si>
  <si>
    <t>MLB5770808884</t>
  </si>
  <si>
    <t>2xCB1473-7</t>
  </si>
  <si>
    <t>MLB5770794516</t>
  </si>
  <si>
    <t>CB1572-3</t>
  </si>
  <si>
    <t>MLB5770782638</t>
  </si>
  <si>
    <t>2xCB1473-3</t>
  </si>
  <si>
    <t>MLB5770781398</t>
  </si>
  <si>
    <t>CB1572-5</t>
  </si>
  <si>
    <t>MLB5770769840</t>
  </si>
  <si>
    <t>2xCB1473-5</t>
  </si>
  <si>
    <t>MLB4238365787</t>
  </si>
  <si>
    <t>CB1473-3</t>
  </si>
  <si>
    <t>MLB4238325649</t>
  </si>
  <si>
    <t>CB1473-5</t>
  </si>
  <si>
    <t>MLB4238312621</t>
  </si>
  <si>
    <t>CB1473-7</t>
  </si>
  <si>
    <t>MLB4238235499</t>
  </si>
  <si>
    <t>CK4443</t>
  </si>
  <si>
    <t>MLB4239890461</t>
  </si>
  <si>
    <t>MLB5829472554</t>
  </si>
  <si>
    <t>MLB5829434564</t>
  </si>
  <si>
    <t>DT24293</t>
  </si>
  <si>
    <t>MLB5950320548</t>
  </si>
  <si>
    <t>6x5209-28</t>
  </si>
  <si>
    <t>MLB5992315820</t>
  </si>
  <si>
    <t>5209-19</t>
  </si>
  <si>
    <t>MLB5992146868</t>
  </si>
  <si>
    <t>5209-28</t>
  </si>
  <si>
    <t>MLB5992085990</t>
  </si>
  <si>
    <t>CB1723</t>
  </si>
  <si>
    <t>MLB4339266523</t>
  </si>
  <si>
    <t>6x5209-12</t>
  </si>
  <si>
    <t>MLB4339264513</t>
  </si>
  <si>
    <t>6x5209-5</t>
  </si>
  <si>
    <t>MLB4339252823</t>
  </si>
  <si>
    <t>2x5209-12-clone</t>
  </si>
  <si>
    <t>MLB4339249835</t>
  </si>
  <si>
    <t>6x5209-19</t>
  </si>
  <si>
    <t>MLB4339219657</t>
  </si>
  <si>
    <t>2x5209-28-clone</t>
  </si>
  <si>
    <t>MLB4339216677</t>
  </si>
  <si>
    <t>2x5209-5-clone</t>
  </si>
  <si>
    <t>MLB4339204847</t>
  </si>
  <si>
    <t>2x5209-1-clone</t>
  </si>
  <si>
    <t>MLB4339204845</t>
  </si>
  <si>
    <t>2x5209-19-clone</t>
  </si>
  <si>
    <t>MLB4339204843</t>
  </si>
  <si>
    <t>5209-12</t>
  </si>
  <si>
    <t>MLB4339166783</t>
  </si>
  <si>
    <t>CB0239</t>
  </si>
  <si>
    <t>MLB6002055262</t>
  </si>
  <si>
    <t>1xCK5157-1-clone</t>
  </si>
  <si>
    <t>MLB6079941794</t>
  </si>
  <si>
    <t>6x5209-10</t>
  </si>
  <si>
    <t>MLB6168286410</t>
  </si>
  <si>
    <t>6x5209-23</t>
  </si>
  <si>
    <t>MLB6168286408</t>
  </si>
  <si>
    <t>6x5209-29</t>
  </si>
  <si>
    <t>MLB6168273408</t>
  </si>
  <si>
    <t>6x5209-6-clone</t>
  </si>
  <si>
    <t>MLB6168142280</t>
  </si>
  <si>
    <t>5209-6</t>
  </si>
  <si>
    <t>MLB6185118956</t>
  </si>
  <si>
    <t>5209-10</t>
  </si>
  <si>
    <t>MLB6185118954</t>
  </si>
  <si>
    <t>5209-23</t>
  </si>
  <si>
    <t>MLB6185093090</t>
  </si>
  <si>
    <t>2x5209-29-clone</t>
  </si>
  <si>
    <t>MLB6185043132</t>
  </si>
  <si>
    <t>2x5209-23-clone</t>
  </si>
  <si>
    <t>MLB6185017310</t>
  </si>
  <si>
    <t>2x5209-6-clone</t>
  </si>
  <si>
    <t>MLB6185017308</t>
  </si>
  <si>
    <t>2x5209-10-clone</t>
  </si>
  <si>
    <t>MLB6185017306</t>
  </si>
  <si>
    <t>5209-29</t>
  </si>
  <si>
    <t>MLB4432658997</t>
  </si>
  <si>
    <t>MLB6227788166</t>
  </si>
  <si>
    <t>MLB6227749506</t>
  </si>
  <si>
    <t>1xTRC6888</t>
  </si>
  <si>
    <t>MLB6233906156</t>
  </si>
  <si>
    <t>2xTRC6888</t>
  </si>
  <si>
    <t>MLB6233880522</t>
  </si>
  <si>
    <t>5xTRC6888</t>
  </si>
  <si>
    <t>MLB6233790186</t>
  </si>
  <si>
    <t>3xTRC6888</t>
  </si>
  <si>
    <t>MLB6233777038</t>
  </si>
  <si>
    <t>4xTRC6888</t>
  </si>
  <si>
    <t>MLB6233660518</t>
  </si>
  <si>
    <t>1xTRC0490-3</t>
  </si>
  <si>
    <t>MLB4465260639</t>
  </si>
  <si>
    <t>2xTRC0490-1</t>
  </si>
  <si>
    <t>MLB4465212029</t>
  </si>
  <si>
    <t>TRC0926</t>
  </si>
  <si>
    <t>MLB4465148307</t>
  </si>
  <si>
    <t>NS-4583</t>
  </si>
  <si>
    <t>MLB4465135255</t>
  </si>
  <si>
    <t>2xTRC0490-3</t>
  </si>
  <si>
    <t>MLB4465121289</t>
  </si>
  <si>
    <t>1xTRC0490-1</t>
  </si>
  <si>
    <t>MLB4465105231</t>
  </si>
  <si>
    <t>FAB_4000</t>
  </si>
  <si>
    <t>MLB4464992493</t>
  </si>
  <si>
    <t>2xTRC6670</t>
  </si>
  <si>
    <t>MLB4464969719</t>
  </si>
  <si>
    <t>MLB4464863737</t>
  </si>
  <si>
    <t>1xTRC6670</t>
  </si>
  <si>
    <t>MLB4464787603</t>
  </si>
  <si>
    <t>LZ0001-3</t>
  </si>
  <si>
    <t>MLB4466779683</t>
  </si>
  <si>
    <t>LZ0001-4</t>
  </si>
  <si>
    <t>MLB4466559475</t>
  </si>
  <si>
    <t>LZ0001-0</t>
  </si>
  <si>
    <t>MLB4466546585</t>
  </si>
  <si>
    <t>FAB_5000_10</t>
  </si>
  <si>
    <t>MLB6248572072</t>
  </si>
  <si>
    <t>MLB6248494106</t>
  </si>
  <si>
    <t>FAB_5000_20</t>
  </si>
  <si>
    <t>MLB6248429678</t>
  </si>
  <si>
    <t>MLB6248261308</t>
  </si>
  <si>
    <t>MLB6246434604</t>
  </si>
  <si>
    <t>NS-4880</t>
  </si>
  <si>
    <t>MLB4480130583</t>
  </si>
  <si>
    <t>CK2017-7</t>
  </si>
  <si>
    <t>MLB4480106019</t>
  </si>
  <si>
    <t>CK2017-2</t>
  </si>
  <si>
    <t>MLB4480002263</t>
  </si>
  <si>
    <t>CK2017-1</t>
  </si>
  <si>
    <t>MLB4479950255</t>
  </si>
  <si>
    <t>51EF1010AA000</t>
  </si>
  <si>
    <t>MLB4508594083</t>
  </si>
  <si>
    <t>MLB4508555941</t>
  </si>
  <si>
    <t>TRC8317</t>
  </si>
  <si>
    <t>MLB6447560212</t>
  </si>
  <si>
    <t>2xTRC8317</t>
  </si>
  <si>
    <t>MLB4527005981</t>
  </si>
  <si>
    <t>2xCB4324-3-clone</t>
  </si>
  <si>
    <t>MLB6527361150</t>
  </si>
  <si>
    <t>2xCB4324-6-clone</t>
  </si>
  <si>
    <t>MLB6527353194</t>
  </si>
  <si>
    <t>1xCB4324-1-clone</t>
  </si>
  <si>
    <t>MLB6527346576</t>
  </si>
  <si>
    <t>2xCB3257-clone</t>
  </si>
  <si>
    <t>MLB6527292822</t>
  </si>
  <si>
    <t>2xCB4324-1-clone</t>
  </si>
  <si>
    <t>MLB4564815725</t>
  </si>
  <si>
    <t>1xCB4324-6-clone</t>
  </si>
  <si>
    <t>MLB4564796473</t>
  </si>
  <si>
    <t>1xCB4324-3-clone</t>
  </si>
  <si>
    <t>MLB4564796471</t>
  </si>
  <si>
    <t>1xCB3257-clone</t>
  </si>
  <si>
    <t>MLB4564666657</t>
  </si>
  <si>
    <t>CK4078</t>
  </si>
  <si>
    <t>MLB6539335326</t>
  </si>
  <si>
    <t>CK4081</t>
  </si>
  <si>
    <t>MLB4571539631</t>
  </si>
  <si>
    <t>MLB4571508375</t>
  </si>
  <si>
    <t>MLB6538781142</t>
  </si>
  <si>
    <t>1xCK5438</t>
  </si>
  <si>
    <t>MLB4571145535</t>
  </si>
  <si>
    <t>4xCK5438</t>
  </si>
  <si>
    <t>MLB6538898816</t>
  </si>
  <si>
    <t>CK5479-4</t>
  </si>
  <si>
    <t>MLB6545468792</t>
  </si>
  <si>
    <t>CK5479-6</t>
  </si>
  <si>
    <t>MLB6545446018</t>
  </si>
  <si>
    <t>4xCK6478</t>
  </si>
  <si>
    <t>MLB6545358166</t>
  </si>
  <si>
    <t>3xCK6478</t>
  </si>
  <si>
    <t>MLB6545357370</t>
  </si>
  <si>
    <t>2xCK6478</t>
  </si>
  <si>
    <t>MLB6545356338</t>
  </si>
  <si>
    <t>1xCK6478</t>
  </si>
  <si>
    <t>MLB6545354072</t>
  </si>
  <si>
    <t>CK7139</t>
  </si>
  <si>
    <t>MLB6545068690</t>
  </si>
  <si>
    <t>CK6371</t>
  </si>
  <si>
    <t>MLB6543773994</t>
  </si>
  <si>
    <t>150x5209-6</t>
  </si>
  <si>
    <t>MLB6557020480</t>
  </si>
  <si>
    <t>1xCX153-clone</t>
  </si>
  <si>
    <t>MLB6595800518</t>
  </si>
  <si>
    <t>2xCK6104</t>
  </si>
  <si>
    <t>MLB6601329702</t>
  </si>
  <si>
    <t>CK6299</t>
  </si>
  <si>
    <t>MLB6601292126</t>
  </si>
  <si>
    <t>MLB6601282238</t>
  </si>
  <si>
    <t>1xCK6104</t>
  </si>
  <si>
    <t>MLB4598487919</t>
  </si>
  <si>
    <t>1xCK4004</t>
  </si>
  <si>
    <t>MLB6651058786</t>
  </si>
  <si>
    <t>1xRD1090-clone</t>
  </si>
  <si>
    <t>MLB6651053038</t>
  </si>
  <si>
    <t>2xCK3506-clone</t>
  </si>
  <si>
    <t>MLB6650899952</t>
  </si>
  <si>
    <t>IM46153</t>
  </si>
  <si>
    <t>MLB6650867068</t>
  </si>
  <si>
    <t>2xCK8053</t>
  </si>
  <si>
    <t>MLB6650824898</t>
  </si>
  <si>
    <t>RD1628-0</t>
  </si>
  <si>
    <t>MLB6650583930</t>
  </si>
  <si>
    <t>RD1628-12</t>
  </si>
  <si>
    <t>MLB6650583928</t>
  </si>
  <si>
    <t>RD1628-2</t>
  </si>
  <si>
    <t>MLB6650583926</t>
  </si>
  <si>
    <t>1xCA12715-clone</t>
  </si>
  <si>
    <t>MLB6650528396</t>
  </si>
  <si>
    <t>RD1627-12</t>
  </si>
  <si>
    <t>MLB6650519520</t>
  </si>
  <si>
    <t>RD1627-0</t>
  </si>
  <si>
    <t>MLB6650519518</t>
  </si>
  <si>
    <t>RD1627-2</t>
  </si>
  <si>
    <t>MLB6650519514</t>
  </si>
  <si>
    <t>CK1615</t>
  </si>
  <si>
    <t>MLB6650378844</t>
  </si>
  <si>
    <t>1xRD1656-3-clone</t>
  </si>
  <si>
    <t>MLB6650376418</t>
  </si>
  <si>
    <t>2xRD1656-3-clone</t>
  </si>
  <si>
    <t>MLB6650375622</t>
  </si>
  <si>
    <t>MLB6650343388</t>
  </si>
  <si>
    <t>RD1446-30</t>
  </si>
  <si>
    <t>MLB6650335682</t>
  </si>
  <si>
    <t>RD1446-12</t>
  </si>
  <si>
    <t>MLB6650276164</t>
  </si>
  <si>
    <t>RD1446-3</t>
  </si>
  <si>
    <t>MLB6650137416</t>
  </si>
  <si>
    <t>RD1446-1</t>
  </si>
  <si>
    <t>MLB6650137414</t>
  </si>
  <si>
    <t>2xCK4004</t>
  </si>
  <si>
    <t>MLB4623659995</t>
  </si>
  <si>
    <t>4xRD1090-clone</t>
  </si>
  <si>
    <t>MLB4623650393</t>
  </si>
  <si>
    <t>2xRD1090-clone</t>
  </si>
  <si>
    <t>MLB4623643617</t>
  </si>
  <si>
    <t>1xCK3506-clone</t>
  </si>
  <si>
    <t>MLB4623634979</t>
  </si>
  <si>
    <t>1xCK8053</t>
  </si>
  <si>
    <t>MLB4623583399</t>
  </si>
  <si>
    <t>CK5860-1-2</t>
  </si>
  <si>
    <t>MLB4623498629</t>
  </si>
  <si>
    <t>2xCA12715</t>
  </si>
  <si>
    <t>MLB4623383571</t>
  </si>
  <si>
    <t>RD1628-3</t>
  </si>
  <si>
    <t>MLB4623321499</t>
  </si>
  <si>
    <t>RD1628-1</t>
  </si>
  <si>
    <t>MLB4623321497</t>
  </si>
  <si>
    <t>RD1627-3</t>
  </si>
  <si>
    <t>MLB4623316925</t>
  </si>
  <si>
    <t>RD1446-31</t>
  </si>
  <si>
    <t>MLB4623125265</t>
  </si>
  <si>
    <t>RD1446-19</t>
  </si>
  <si>
    <t>MLB4623125263</t>
  </si>
  <si>
    <t>2xCX153</t>
  </si>
  <si>
    <t>MLB4623080773</t>
  </si>
  <si>
    <t>MLB6661278402</t>
  </si>
  <si>
    <t>4974-32</t>
  </si>
  <si>
    <t>MLB6661095844</t>
  </si>
  <si>
    <t>MLB4629184347</t>
  </si>
  <si>
    <t>MLB4629147929</t>
  </si>
  <si>
    <t>4974-13</t>
  </si>
  <si>
    <t>MLB4629093333</t>
  </si>
  <si>
    <t>MLB4629089561</t>
  </si>
  <si>
    <t>10x301000-mole</t>
  </si>
  <si>
    <t>MLB6666832538</t>
  </si>
  <si>
    <t>301000-mole</t>
  </si>
  <si>
    <t>MLB6666759906</t>
  </si>
  <si>
    <t>MLB4631887323</t>
  </si>
  <si>
    <t>5x301000-mole</t>
  </si>
  <si>
    <t>MLB4631866189</t>
  </si>
  <si>
    <t>MLB4631856729</t>
  </si>
  <si>
    <t>MLB4631850801</t>
  </si>
  <si>
    <t>10x305000</t>
  </si>
  <si>
    <t>MLB6688940616</t>
  </si>
  <si>
    <t>6x305000</t>
  </si>
  <si>
    <t>MLB6688894590</t>
  </si>
  <si>
    <t>CB5037-4</t>
  </si>
  <si>
    <t>MLB6688773202</t>
  </si>
  <si>
    <t>CB5037-3</t>
  </si>
  <si>
    <t>MLB6688773200</t>
  </si>
  <si>
    <t>CB5037-12</t>
  </si>
  <si>
    <t>MLB6688760512</t>
  </si>
  <si>
    <t>15x305000</t>
  </si>
  <si>
    <t>MLB4643096103</t>
  </si>
  <si>
    <t>4x305000</t>
  </si>
  <si>
    <t>MLB4643042353</t>
  </si>
  <si>
    <t>DT6884-25</t>
  </si>
  <si>
    <t>MLB6695832110</t>
  </si>
  <si>
    <t>DT6884-4</t>
  </si>
  <si>
    <t>MLB6695794358</t>
  </si>
  <si>
    <t>MLB6694182518</t>
  </si>
  <si>
    <t>MLB6694155860</t>
  </si>
  <si>
    <t>MLB6723894016</t>
  </si>
  <si>
    <t>MLB6723894014</t>
  </si>
  <si>
    <t>MLB6723778220</t>
  </si>
  <si>
    <t>MLB6723778218</t>
  </si>
  <si>
    <t>MLB6723778216</t>
  </si>
  <si>
    <t>1xCB1238</t>
  </si>
  <si>
    <t>MLB4658397989</t>
  </si>
  <si>
    <t>2xTRC1101-clone</t>
  </si>
  <si>
    <t>MLB6744798996</t>
  </si>
  <si>
    <t>1xTRC1101-clone</t>
  </si>
  <si>
    <t>MLB6744246090</t>
  </si>
  <si>
    <t>2xCB1238</t>
  </si>
  <si>
    <t>MLB4667008925</t>
  </si>
  <si>
    <t>3xTRC7520</t>
  </si>
  <si>
    <t>MLB6746786510</t>
  </si>
  <si>
    <t>6xTRC7520</t>
  </si>
  <si>
    <t>MLB6746736126</t>
  </si>
  <si>
    <t>2xBC25378</t>
  </si>
  <si>
    <t>MLB6746730288</t>
  </si>
  <si>
    <t>9xTRC7520</t>
  </si>
  <si>
    <t>MLB6746712380</t>
  </si>
  <si>
    <t>1xTRC7520</t>
  </si>
  <si>
    <t>MLB6746711032</t>
  </si>
  <si>
    <t>BC25378</t>
  </si>
  <si>
    <t>MLB6746705280</t>
  </si>
  <si>
    <t>TRC7464</t>
  </si>
  <si>
    <t>MLB6746400100</t>
  </si>
  <si>
    <t>2xDT6966</t>
  </si>
  <si>
    <t>MLB6746391514</t>
  </si>
  <si>
    <t>TRC8676</t>
  </si>
  <si>
    <t>MLB6746242294</t>
  </si>
  <si>
    <t>1xDT6966</t>
  </si>
  <si>
    <t>MLB6746238932</t>
  </si>
  <si>
    <t>CK4177</t>
  </si>
  <si>
    <t>MLB6746229384</t>
  </si>
  <si>
    <t>CA09394</t>
  </si>
  <si>
    <t>MLB6746200920</t>
  </si>
  <si>
    <t>1xTRC6889</t>
  </si>
  <si>
    <t>MLB4669571469</t>
  </si>
  <si>
    <t>CZ231316-3</t>
  </si>
  <si>
    <t>MLB4668659105</t>
  </si>
  <si>
    <t>CZ231316-1</t>
  </si>
  <si>
    <t>MLB4668659103</t>
  </si>
  <si>
    <t>2xCB3255</t>
  </si>
  <si>
    <t>MLB6749295786</t>
  </si>
  <si>
    <t>3xTRC6889</t>
  </si>
  <si>
    <t>MLB6748250862</t>
  </si>
  <si>
    <t>2xTRC6889</t>
  </si>
  <si>
    <t>MLB6748212632</t>
  </si>
  <si>
    <t>4xTRC6889</t>
  </si>
  <si>
    <t>MLB6748187350</t>
  </si>
  <si>
    <t>2xCX184</t>
  </si>
  <si>
    <t>MLB4671291099</t>
  </si>
  <si>
    <t>1xCX184</t>
  </si>
  <si>
    <t>MLB4671277919</t>
  </si>
  <si>
    <t>1xCX161</t>
  </si>
  <si>
    <t>MLB4670439961</t>
  </si>
  <si>
    <t>2xCX161</t>
  </si>
  <si>
    <t>MLB4670403219</t>
  </si>
  <si>
    <t>1xCB3255</t>
  </si>
  <si>
    <t>MLB4669992137</t>
  </si>
  <si>
    <t>5xTRC6889</t>
  </si>
  <si>
    <t>MLB4669572441</t>
  </si>
  <si>
    <t>1xCB3254-11</t>
  </si>
  <si>
    <t>MLB6761798464</t>
  </si>
  <si>
    <t>1xCB3254-6</t>
  </si>
  <si>
    <t>MLB6761773000</t>
  </si>
  <si>
    <t>IM51026-7</t>
  </si>
  <si>
    <t>MLB6760295678</t>
  </si>
  <si>
    <t>IM51026-0</t>
  </si>
  <si>
    <t>MLB6760283294</t>
  </si>
  <si>
    <t>IM51026-1</t>
  </si>
  <si>
    <t>MLB6760283292</t>
  </si>
  <si>
    <t>1xCX292</t>
  </si>
  <si>
    <t>MLB6759546536</t>
  </si>
  <si>
    <t>2xCX276</t>
  </si>
  <si>
    <t>MLB6759542600</t>
  </si>
  <si>
    <t>1xCX276</t>
  </si>
  <si>
    <t>MLB6759542208</t>
  </si>
  <si>
    <t>IM51026-6</t>
  </si>
  <si>
    <t>MLB4673326567</t>
  </si>
  <si>
    <t>CX276-CX161</t>
  </si>
  <si>
    <t>MLB4673269901</t>
  </si>
  <si>
    <t>2xCX292</t>
  </si>
  <si>
    <t>MLB4673135377</t>
  </si>
  <si>
    <t>2xCA12309-6</t>
  </si>
  <si>
    <t>MLB6797132862</t>
  </si>
  <si>
    <t>2xCA12309-0</t>
  </si>
  <si>
    <t>MLB6797121982</t>
  </si>
  <si>
    <t>1xCA12309-0</t>
  </si>
  <si>
    <t>MLB6797100086</t>
  </si>
  <si>
    <t>RD1454-4</t>
  </si>
  <si>
    <t>MLB6797057940</t>
  </si>
  <si>
    <t>2xCA12832-3</t>
  </si>
  <si>
    <t>MLB6797053866</t>
  </si>
  <si>
    <t>RD1454-33</t>
  </si>
  <si>
    <t>MLB6797048072</t>
  </si>
  <si>
    <t>RD1454-19</t>
  </si>
  <si>
    <t>MLB6797048070</t>
  </si>
  <si>
    <t>RD1454-1</t>
  </si>
  <si>
    <t>MLB6797024006</t>
  </si>
  <si>
    <t>1xCA12832-3</t>
  </si>
  <si>
    <t>MLB6797017668</t>
  </si>
  <si>
    <t>2xCA12306-0</t>
  </si>
  <si>
    <t>MLB6796816230</t>
  </si>
  <si>
    <t>1xCA12306-6</t>
  </si>
  <si>
    <t>MLB6796417376</t>
  </si>
  <si>
    <t>2xRD1199-2</t>
  </si>
  <si>
    <t>MLB6796370020</t>
  </si>
  <si>
    <t>2xRD1199-6</t>
  </si>
  <si>
    <t>MLB6796359584</t>
  </si>
  <si>
    <t>1xRD1199-2</t>
  </si>
  <si>
    <t>MLB6796355100</t>
  </si>
  <si>
    <t>1xRD1199-6</t>
  </si>
  <si>
    <t>MLB6796344422</t>
  </si>
  <si>
    <t>2xCA12309-5</t>
  </si>
  <si>
    <t>MLB4690713715</t>
  </si>
  <si>
    <t>1xCA12309-5</t>
  </si>
  <si>
    <t>MLB4690698965</t>
  </si>
  <si>
    <t>1xCA12309-6</t>
  </si>
  <si>
    <t>MLB4690688283</t>
  </si>
  <si>
    <t>RD1454-12</t>
  </si>
  <si>
    <t>MLB4690669565</t>
  </si>
  <si>
    <t>2xCA12306-6</t>
  </si>
  <si>
    <t>MLB4690546271</t>
  </si>
  <si>
    <t>2xCA12306-5</t>
  </si>
  <si>
    <t>MLB4690535319</t>
  </si>
  <si>
    <t>1xCA12306-0</t>
  </si>
  <si>
    <t>MLB4690348327</t>
  </si>
  <si>
    <t>1xCA12306-5</t>
  </si>
  <si>
    <t>MLB4690348325</t>
  </si>
  <si>
    <t>MLB4694655741</t>
  </si>
  <si>
    <t>MLB6833852484</t>
  </si>
  <si>
    <t>2xCB0238-3</t>
  </si>
  <si>
    <t>MLB6832799738</t>
  </si>
  <si>
    <t>2xCB0238-4</t>
  </si>
  <si>
    <t>MLB6832799736</t>
  </si>
  <si>
    <t>12xCB0238-12</t>
  </si>
  <si>
    <t>MLB6832643894</t>
  </si>
  <si>
    <t>2xCB0238-12</t>
  </si>
  <si>
    <t>MLB6832640864</t>
  </si>
  <si>
    <t>MLB6832640862</t>
  </si>
  <si>
    <t>12xCB0238-4</t>
  </si>
  <si>
    <t>MLB6832631660</t>
  </si>
  <si>
    <t>MLB4706858257</t>
  </si>
  <si>
    <t>12xCB0238-3</t>
  </si>
  <si>
    <t>MLB4706250103</t>
  </si>
  <si>
    <t>MLB4706250101</t>
  </si>
  <si>
    <t>MLB4706237821</t>
  </si>
  <si>
    <t>MLB4706152181</t>
  </si>
  <si>
    <t>MLB4706148597</t>
  </si>
  <si>
    <t>MLB4706145587</t>
  </si>
  <si>
    <t>MLB6840887090</t>
  </si>
  <si>
    <t>Valor Final A Receber do meli</t>
  </si>
  <si>
    <t>Valor Final de Venda</t>
  </si>
  <si>
    <t>Margem a Obter</t>
  </si>
  <si>
    <t>Margem Mín. p/ Forçar &lt; 79</t>
  </si>
  <si>
    <t>% Inflação</t>
  </si>
  <si>
    <t>Preço Inflado</t>
  </si>
  <si>
    <t>Desc. Necessário</t>
  </si>
  <si>
    <t>Margem no Inflado</t>
  </si>
  <si>
    <t>Margem Pós-Desc.</t>
  </si>
  <si>
    <t>Lucro Pós-Desc. (R$)</t>
  </si>
  <si>
    <t>Valor Final de Venda na Campanha</t>
  </si>
  <si>
    <t>Status</t>
  </si>
  <si>
    <t>Valor de venda Atual</t>
  </si>
  <si>
    <t>daqui em diante entra a regra de inflar</t>
  </si>
  <si>
    <t>daqui para tras foi apenas para obter os 20% liquido em cada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</si>
</sst>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10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1"/>
      <name val="Calibri"/>
      <charset val="1"/>
    </font>
    <font>
      <sz val="10"/>
      <name val="Arial"/>
      <charset val="1"/>
    </font>
    <font>
      <b/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9"/>
      <name val="Cambria"/>
      <charset val="1"/>
    </font>
    <font>
      <b/>
      <sz val="10"/>
      <name val="Cambria"/>
      <charset val="1"/>
    </font>
    <font>
      <b/>
      <sz val="11"/>
      <name val="Cambria"/>
      <charset val="1"/>
    </font>
    <font>
      <sz val="10"/>
      <name val="Cambria"/>
      <charset val="1"/>
    </font>
  </fonts>
  <fills count="18">
    <fill>
      <patternFill patternType="none"/>
    </fill>
    <fill>
      <patternFill patternType="gray125"/>
    </fill>
    <fill>
      <patternFill patternType="solid">
        <fgColor rgb="FFFBE5D6"/>
        <bgColor rgb="FFFFF2CC"/>
      </patternFill>
    </fill>
    <fill>
      <patternFill patternType="solid">
        <fgColor rgb="FFFFE699"/>
        <bgColor rgb="FFFFE5B4"/>
      </patternFill>
    </fill>
    <fill>
      <patternFill patternType="solid">
        <fgColor rgb="FFE2EFDA"/>
        <bgColor rgb="FFE8E8E8"/>
      </patternFill>
    </fill>
    <fill>
      <patternFill patternType="solid">
        <fgColor rgb="FFDEEBF7"/>
        <bgColor rgb="FFE8E8E8"/>
      </patternFill>
    </fill>
    <fill>
      <patternFill patternType="solid">
        <fgColor rgb="FFFFD966"/>
        <bgColor rgb="FFFFE699"/>
      </patternFill>
    </fill>
    <fill>
      <patternFill patternType="solid">
        <fgColor rgb="FFFFF2CC"/>
        <bgColor rgb="FFFFF4CC"/>
      </patternFill>
    </fill>
    <fill>
      <patternFill patternType="solid">
        <fgColor rgb="FFF4B084"/>
        <bgColor rgb="FFF8CBAD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FFD966"/>
      </patternFill>
    </fill>
    <fill>
      <patternFill patternType="solid">
        <fgColor rgb="FFD9E1F2"/>
        <bgColor rgb="FFDEEBF7"/>
      </patternFill>
    </fill>
    <fill>
      <patternFill patternType="solid">
        <fgColor rgb="FFFFFF00"/>
        <bgColor rgb="FFFFD966"/>
      </patternFill>
    </fill>
    <fill>
      <patternFill patternType="solid">
        <fgColor rgb="FFF8CBAD"/>
        <bgColor rgb="FFFFD6D6"/>
      </patternFill>
    </fill>
    <fill>
      <patternFill patternType="solid">
        <fgColor theme="0"/>
        <bgColor rgb="FFE8F4F8"/>
      </patternFill>
    </fill>
    <fill>
      <patternFill patternType="solid">
        <fgColor rgb="FFE8F4F8"/>
        <bgColor rgb="FFDEEBF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E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/>
    <xf numFmtId="0" fontId="3" fillId="0" borderId="1" xfId="0" applyFont="1" applyBorder="1"/>
    <xf numFmtId="10" fontId="3" fillId="0" borderId="1" xfId="0" applyNumberFormat="1" applyFont="1" applyBorder="1"/>
    <xf numFmtId="164" fontId="3" fillId="0" borderId="0" xfId="0" applyNumberFormat="1" applyFont="1"/>
    <xf numFmtId="10" fontId="3" fillId="0" borderId="0" xfId="0" applyNumberFormat="1" applyFont="1"/>
    <xf numFmtId="0" fontId="3" fillId="14" borderId="1" xfId="0" applyFont="1" applyFill="1" applyBorder="1" applyAlignment="1">
      <alignment horizontal="left" vertical="center"/>
    </xf>
    <xf numFmtId="164" fontId="3" fillId="14" borderId="1" xfId="0" applyNumberFormat="1" applyFont="1" applyFill="1" applyBorder="1"/>
    <xf numFmtId="0" fontId="3" fillId="14" borderId="1" xfId="0" applyFont="1" applyFill="1" applyBorder="1"/>
    <xf numFmtId="10" fontId="3" fillId="14" borderId="1" xfId="0" applyNumberFormat="1" applyFont="1" applyFill="1" applyBorder="1"/>
    <xf numFmtId="0" fontId="0" fillId="14" borderId="0" xfId="0" applyFill="1"/>
    <xf numFmtId="164" fontId="3" fillId="14" borderId="0" xfId="0" applyNumberFormat="1" applyFont="1" applyFill="1"/>
    <xf numFmtId="0" fontId="3" fillId="12" borderId="1" xfId="0" applyFont="1" applyFill="1" applyBorder="1" applyAlignment="1">
      <alignment horizontal="left" vertical="center"/>
    </xf>
    <xf numFmtId="164" fontId="3" fillId="12" borderId="1" xfId="0" applyNumberFormat="1" applyFont="1" applyFill="1" applyBorder="1"/>
    <xf numFmtId="0" fontId="3" fillId="12" borderId="1" xfId="0" applyFont="1" applyFill="1" applyBorder="1"/>
    <xf numFmtId="10" fontId="3" fillId="12" borderId="1" xfId="0" applyNumberFormat="1" applyFont="1" applyFill="1" applyBorder="1"/>
    <xf numFmtId="0" fontId="0" fillId="12" borderId="0" xfId="0" applyFill="1"/>
    <xf numFmtId="164" fontId="3" fillId="12" borderId="0" xfId="0" applyNumberFormat="1" applyFont="1" applyFill="1"/>
    <xf numFmtId="0" fontId="1" fillId="1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10" fontId="8" fillId="12" borderId="1" xfId="0" applyNumberFormat="1" applyFont="1" applyFill="1" applyBorder="1" applyAlignment="1">
      <alignment horizontal="center" vertical="center" wrapText="1"/>
    </xf>
    <xf numFmtId="10" fontId="8" fillId="12" borderId="0" xfId="0" applyNumberFormat="1" applyFont="1" applyFill="1" applyAlignment="1">
      <alignment horizontal="center"/>
    </xf>
    <xf numFmtId="10" fontId="8" fillId="12" borderId="2" xfId="0" applyNumberFormat="1" applyFont="1" applyFill="1" applyBorder="1" applyAlignment="1">
      <alignment horizontal="center"/>
    </xf>
    <xf numFmtId="9" fontId="2" fillId="0" borderId="0" xfId="0" applyNumberFormat="1" applyFont="1"/>
    <xf numFmtId="164" fontId="2" fillId="0" borderId="0" xfId="0" applyNumberFormat="1" applyFont="1"/>
    <xf numFmtId="164" fontId="3" fillId="15" borderId="1" xfId="0" applyNumberFormat="1" applyFont="1" applyFill="1" applyBorder="1"/>
    <xf numFmtId="10" fontId="0" fillId="0" borderId="0" xfId="0" applyNumberFormat="1"/>
    <xf numFmtId="164" fontId="3" fillId="0" borderId="2" xfId="0" applyNumberFormat="1" applyFont="1" applyBorder="1"/>
    <xf numFmtId="164" fontId="0" fillId="0" borderId="0" xfId="0" applyNumberFormat="1"/>
    <xf numFmtId="0" fontId="9" fillId="0" borderId="0" xfId="0" applyFont="1" applyAlignment="1">
      <alignment horizontal="center"/>
    </xf>
    <xf numFmtId="164" fontId="3" fillId="13" borderId="1" xfId="0" applyNumberFormat="1" applyFont="1" applyFill="1" applyBorder="1"/>
    <xf numFmtId="164" fontId="0" fillId="15" borderId="0" xfId="0" applyNumberFormat="1" applyFill="1"/>
    <xf numFmtId="0" fontId="0" fillId="0" borderId="0" xfId="0" applyAlignment="1">
      <alignment wrapText="1"/>
    </xf>
    <xf numFmtId="0" fontId="3" fillId="16" borderId="1" xfId="0" applyFont="1" applyFill="1" applyBorder="1" applyAlignment="1">
      <alignment horizontal="left" vertical="center"/>
    </xf>
    <xf numFmtId="164" fontId="3" fillId="17" borderId="1" xfId="0" applyNumberFormat="1" applyFont="1" applyFill="1" applyBorder="1"/>
    <xf numFmtId="164" fontId="3" fillId="16" borderId="1" xfId="0" applyNumberFormat="1" applyFont="1" applyFill="1" applyBorder="1"/>
    <xf numFmtId="0" fontId="3" fillId="16" borderId="1" xfId="0" applyFont="1" applyFill="1" applyBorder="1"/>
    <xf numFmtId="10" fontId="3" fillId="16" borderId="1" xfId="0" applyNumberFormat="1" applyFont="1" applyFill="1" applyBorder="1"/>
    <xf numFmtId="164" fontId="3" fillId="16" borderId="0" xfId="0" applyNumberFormat="1" applyFont="1" applyFill="1"/>
    <xf numFmtId="10" fontId="0" fillId="16" borderId="0" xfId="0" applyNumberFormat="1" applyFill="1"/>
    <xf numFmtId="0" fontId="0" fillId="16" borderId="0" xfId="0" applyFill="1"/>
    <xf numFmtId="164" fontId="3" fillId="16" borderId="2" xfId="0" applyNumberFormat="1" applyFont="1" applyFill="1" applyBorder="1"/>
    <xf numFmtId="10" fontId="3" fillId="16" borderId="0" xfId="0" applyNumberFormat="1" applyFont="1" applyFill="1"/>
    <xf numFmtId="164" fontId="0" fillId="16" borderId="0" xfId="0" applyNumberFormat="1" applyFill="1"/>
    <xf numFmtId="0" fontId="9" fillId="16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/>
    </xf>
    <xf numFmtId="164" fontId="4" fillId="17" borderId="1" xfId="0" applyNumberFormat="1" applyFont="1" applyFill="1" applyBorder="1"/>
    <xf numFmtId="164" fontId="4" fillId="16" borderId="1" xfId="0" applyNumberFormat="1" applyFont="1" applyFill="1" applyBorder="1"/>
    <xf numFmtId="0" fontId="4" fillId="16" borderId="1" xfId="0" applyFont="1" applyFill="1" applyBorder="1"/>
    <xf numFmtId="10" fontId="4" fillId="16" borderId="1" xfId="0" applyNumberFormat="1" applyFont="1" applyFill="1" applyBorder="1"/>
    <xf numFmtId="164" fontId="4" fillId="16" borderId="0" xfId="0" applyNumberFormat="1" applyFont="1" applyFill="1"/>
    <xf numFmtId="0" fontId="5" fillId="16" borderId="0" xfId="0" applyFont="1" applyFill="1"/>
    <xf numFmtId="164" fontId="4" fillId="16" borderId="2" xfId="0" applyNumberFormat="1" applyFont="1" applyFill="1" applyBorder="1"/>
    <xf numFmtId="10" fontId="4" fillId="16" borderId="0" xfId="0" applyNumberFormat="1" applyFont="1" applyFill="1"/>
  </cellXfs>
  <cellStyles count="1">
    <cellStyle name="Normal" xfId="0" builtinId="0"/>
  </cellStyles>
  <dxfs count="6">
    <dxf>
      <fill>
        <patternFill>
          <bgColor rgb="FFD4EDDA"/>
        </patternFill>
      </fill>
    </dxf>
    <dxf>
      <fill>
        <patternFill>
          <bgColor rgb="FFE8E8E8"/>
        </patternFill>
      </fill>
    </dxf>
    <dxf>
      <fill>
        <patternFill>
          <bgColor rgb="FFFFF4CC"/>
        </patternFill>
      </fill>
    </dxf>
    <dxf>
      <fill>
        <patternFill>
          <bgColor rgb="FFFFE5B4"/>
        </patternFill>
      </fill>
    </dxf>
    <dxf>
      <fill>
        <patternFill>
          <bgColor rgb="FFFFD6D6"/>
        </patternFill>
      </fill>
    </dxf>
    <dxf>
      <fill>
        <patternFill>
          <bgColor rgb="FFFFD6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D6D6"/>
      <rgbColor rgb="FF808080"/>
      <rgbColor rgb="FFE2EFDA"/>
      <rgbColor rgb="FF993366"/>
      <rgbColor rgb="FFFFF4CC"/>
      <rgbColor rgb="FFE8F4F8"/>
      <rgbColor rgb="FF660066"/>
      <rgbColor rgb="FFFFE5B4"/>
      <rgbColor rgb="FF0066CC"/>
      <rgbColor rgb="FFD9E1F2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DEEBF7"/>
      <rgbColor rgb="FFD4EDDA"/>
      <rgbColor rgb="FFFFE699"/>
      <rgbColor rgb="FFE8E8E8"/>
      <rgbColor rgb="FFF4B084"/>
      <rgbColor rgb="FFFBE5D6"/>
      <rgbColor rgb="FFF8CBAD"/>
      <rgbColor rgb="FF3366FF"/>
      <rgbColor rgb="FF33CCCC"/>
      <rgbColor rgb="FF92D050"/>
      <rgbColor rgb="FFFFC000"/>
      <rgbColor rgb="FFFF9900"/>
      <rgbColor rgb="FFFF6600"/>
      <rgbColor rgb="FF666699"/>
      <rgbColor rgb="FFFFF2CC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75"/>
  <sheetViews>
    <sheetView tabSelected="1" topLeftCell="E1" zoomScaleNormal="100" workbookViewId="0">
      <selection activeCell="Z4" sqref="Z4"/>
    </sheetView>
  </sheetViews>
  <sheetFormatPr defaultColWidth="8.7109375" defaultRowHeight="15" x14ac:dyDescent="0.25"/>
  <cols>
    <col min="1" max="1" width="17.42578125" customWidth="1"/>
    <col min="2" max="2" width="12.28515625" customWidth="1"/>
    <col min="3" max="3" width="16" customWidth="1"/>
    <col min="4" max="4" width="16.85546875" customWidth="1"/>
    <col min="5" max="6" width="12" customWidth="1"/>
    <col min="7" max="8" width="11" customWidth="1"/>
    <col min="9" max="9" width="10" customWidth="1"/>
    <col min="10" max="10" width="14.85546875" customWidth="1"/>
    <col min="11" max="11" width="18.7109375" customWidth="1"/>
    <col min="12" max="12" width="7.85546875" customWidth="1"/>
    <col min="13" max="13" width="11.140625" customWidth="1"/>
    <col min="14" max="14" width="10.28515625" customWidth="1"/>
    <col min="15" max="15" width="7.85546875" customWidth="1"/>
    <col min="16" max="16" width="11.28515625" customWidth="1"/>
    <col min="17" max="18" width="16" customWidth="1"/>
    <col min="19" max="19" width="19.28515625" customWidth="1"/>
    <col min="20" max="24" width="11" customWidth="1"/>
    <col min="25" max="26" width="16" customWidth="1"/>
    <col min="27" max="27" width="26" customWidth="1"/>
  </cols>
  <sheetData>
    <row r="1" spans="1:27" ht="45" customHeight="1" x14ac:dyDescent="0.25">
      <c r="A1" s="1"/>
      <c r="B1" s="6" t="s">
        <v>4</v>
      </c>
      <c r="C1" s="1"/>
      <c r="D1" s="1"/>
      <c r="E1" s="60" t="s">
        <v>0</v>
      </c>
      <c r="F1" s="60"/>
      <c r="G1" s="2" t="s">
        <v>1</v>
      </c>
      <c r="H1" s="3" t="s">
        <v>2</v>
      </c>
      <c r="I1" s="4" t="s">
        <v>3</v>
      </c>
      <c r="J1" s="5" t="s">
        <v>828</v>
      </c>
      <c r="K1" s="9" t="s">
        <v>8</v>
      </c>
      <c r="L1" s="61" t="s">
        <v>5</v>
      </c>
      <c r="M1" s="61"/>
      <c r="N1" s="7" t="s">
        <v>6</v>
      </c>
      <c r="O1" s="8" t="s">
        <v>7</v>
      </c>
      <c r="P1" s="30" t="s">
        <v>829</v>
      </c>
      <c r="Q1" t="s">
        <v>830</v>
      </c>
      <c r="R1" s="31" t="s">
        <v>831</v>
      </c>
      <c r="S1" s="32" t="s">
        <v>841</v>
      </c>
      <c r="T1" s="33" t="s">
        <v>832</v>
      </c>
      <c r="U1" s="34" t="s">
        <v>833</v>
      </c>
      <c r="V1" s="34" t="s">
        <v>834</v>
      </c>
      <c r="W1" s="34" t="s">
        <v>835</v>
      </c>
      <c r="X1" s="34" t="s">
        <v>836</v>
      </c>
      <c r="Y1" s="34" t="s">
        <v>837</v>
      </c>
      <c r="Z1" s="34" t="s">
        <v>838</v>
      </c>
      <c r="AA1" t="s">
        <v>839</v>
      </c>
    </row>
    <row r="2" spans="1:27" ht="30" customHeight="1" x14ac:dyDescent="0.25">
      <c r="A2" s="10" t="s">
        <v>9</v>
      </c>
      <c r="B2" s="1"/>
      <c r="C2" s="10" t="s">
        <v>10</v>
      </c>
      <c r="D2" s="10" t="s">
        <v>840</v>
      </c>
      <c r="E2" s="10" t="s">
        <v>11</v>
      </c>
      <c r="F2" s="10" t="s">
        <v>12</v>
      </c>
      <c r="G2" s="1"/>
      <c r="H2" s="1"/>
      <c r="I2" s="1"/>
      <c r="J2" s="1"/>
      <c r="K2" s="35">
        <v>0.08</v>
      </c>
      <c r="L2" s="10" t="s">
        <v>13</v>
      </c>
      <c r="M2" s="10" t="s">
        <v>14</v>
      </c>
      <c r="N2" s="1"/>
      <c r="O2" s="1"/>
      <c r="Q2" s="36">
        <v>0.2</v>
      </c>
      <c r="R2" s="36">
        <v>0.15</v>
      </c>
      <c r="S2" s="47" t="s">
        <v>842</v>
      </c>
      <c r="T2" s="37">
        <v>0.2</v>
      </c>
      <c r="V2" s="38"/>
      <c r="W2" s="11"/>
      <c r="X2" s="39"/>
    </row>
    <row r="3" spans="1:27" ht="15" customHeight="1" x14ac:dyDescent="0.25">
      <c r="A3" s="12" t="s">
        <v>15</v>
      </c>
      <c r="B3" s="40">
        <v>17.2</v>
      </c>
      <c r="C3" s="12" t="s">
        <v>16</v>
      </c>
      <c r="D3" s="40">
        <v>25.9</v>
      </c>
      <c r="E3" s="13">
        <f>D3*G3</f>
        <v>3.6260000000000003</v>
      </c>
      <c r="F3" s="14"/>
      <c r="G3" s="15">
        <v>0.14000000000000001</v>
      </c>
      <c r="H3" s="40">
        <v>6.85</v>
      </c>
      <c r="I3" s="40">
        <v>0</v>
      </c>
      <c r="J3" s="13">
        <f t="shared" ref="J3:J66" si="0">D3-IFERROR(E3,0)-IFERROR(F3,0)-IF(D3&lt;79,H3,0)-IF(D3&gt;=79,I3,0)</f>
        <v>15.423999999999998</v>
      </c>
      <c r="K3" s="13"/>
      <c r="L3" s="15">
        <f t="shared" ref="L3:L66" si="1">$K$2</f>
        <v>0.08</v>
      </c>
      <c r="M3" s="13">
        <f t="shared" ref="M3:M66" si="2">D3*$K$2</f>
        <v>2.0720000000000001</v>
      </c>
      <c r="N3" s="13">
        <f t="shared" ref="N3:N66" si="3">J3-IF(ISNUMBER(B3),B3,0)-M3</f>
        <v>-3.8480000000000016</v>
      </c>
      <c r="O3" s="15">
        <f t="shared" ref="O3:O66" si="4">IFERROR(N3/D3,0)</f>
        <v>-0.14857142857142863</v>
      </c>
      <c r="P3" s="16">
        <f t="shared" ref="P3:P66" si="5">IF(NOT(ISNUMBER(B3)),"",IF((1-G3-$K$2-$Q$2)&lt;=0,"erro",IF((B3+H3)/(1-G3-$K$2-$Q$2)&lt;79,(B3+H3)/(1-G3-$K$2-$Q$2),IF((78.99-78.99*G3-H3-78.99*$K$2-B3)/78.99&gt;=$R$2,78.99,IF((B3+I3)/(1-G3-$K$2-$Q$2)&gt;=79,(B3+I3)/(1-G3-$K$2-$Q$2),MAX(79,(B3+I3)/(1-G3-$K$2-$R$2)))))))</f>
        <v>41.465517241379303</v>
      </c>
      <c r="Q3" s="41">
        <f t="shared" ref="Q3:Q66" si="6">IF(NOT(ISNUMBER(P3)),"",(P3-P3*G3-IF(P3&lt;79,H3,I3)-P3*$K$2-B3)/P3)</f>
        <v>0.19999999999999984</v>
      </c>
      <c r="T3" s="42"/>
      <c r="U3" s="16">
        <f t="shared" ref="U3:U66" si="7">IF(NOT(ISNUMBER(P3)),"",P3*(1+$T$2))</f>
        <v>49.75862068965516</v>
      </c>
      <c r="V3" s="41">
        <f t="shared" ref="V3:V66" si="8">IF(NOT(ISNUMBER(U3)),"",1-P3/U3)</f>
        <v>0.16666666666666663</v>
      </c>
      <c r="W3" s="17">
        <f t="shared" ref="W3:W66" si="9">IF(NOT(ISNUMBER(U3)),"",(U3-U3*G3-IF(U3&lt;79,H3,I3)-U3*$K$2-B3)/U3)</f>
        <v>0.29666666666666647</v>
      </c>
      <c r="X3" s="41">
        <f t="shared" ref="X3:X66" si="10">IF(NOT(ISNUMBER(P3)),"",(P3-P3*G3-IF(P3&lt;79,H3,I3)-P3*$K$2-B3)/P3)</f>
        <v>0.19999999999999984</v>
      </c>
      <c r="Y3" s="43">
        <f t="shared" ref="Y3:Y66" si="11">IF(NOT(ISNUMBER(P3)),"",P3-P3*G3-IF(P3&lt;79,H3,I3)-P3*$K$2-B3)</f>
        <v>8.2931034482758541</v>
      </c>
      <c r="Z3" s="43">
        <f t="shared" ref="Z3:Z66" si="12">IF(NOT(ISNUMBER(P3)),"",P3)</f>
        <v>41.465517241379303</v>
      </c>
      <c r="AA3" s="44" t="str">
        <f t="shared" ref="AA3:AA66" si="13">IF(NOT(ISNUMBER(B3)),"Sem custo",IF(NOT(ISNUMBER(P3)),"",IF(AND(P3&gt;=79,I3=0),"⚠ Subiu p/ frete (I=0)",IF(ABS(P3-78.99)&lt;0.01,"Forçado &lt;79 (evita frete)",IF(AND(P3&gt;=79,Q3&lt;$Q$2-0.001),"Subiu p/ frete (min R2)",IF(Q3&lt;$R$2-0.001,"⚠ Margem abaixo do mínimo","OK"))))))</f>
        <v>OK</v>
      </c>
    </row>
    <row r="4" spans="1:27" ht="15" customHeight="1" x14ac:dyDescent="0.25">
      <c r="A4" s="12" t="s">
        <v>17</v>
      </c>
      <c r="B4" s="40">
        <v>22.2</v>
      </c>
      <c r="C4" s="12" t="s">
        <v>18</v>
      </c>
      <c r="D4" s="40">
        <v>25.9</v>
      </c>
      <c r="E4" s="13">
        <f>D4*G4</f>
        <v>3.6260000000000003</v>
      </c>
      <c r="F4" s="14"/>
      <c r="G4" s="15">
        <v>0.14000000000000001</v>
      </c>
      <c r="H4" s="40">
        <v>6.75</v>
      </c>
      <c r="I4" s="40">
        <v>0</v>
      </c>
      <c r="J4" s="13">
        <f t="shared" si="0"/>
        <v>15.523999999999997</v>
      </c>
      <c r="K4" s="13"/>
      <c r="L4" s="15">
        <f t="shared" si="1"/>
        <v>0.08</v>
      </c>
      <c r="M4" s="13">
        <f t="shared" si="2"/>
        <v>2.0720000000000001</v>
      </c>
      <c r="N4" s="13">
        <f t="shared" si="3"/>
        <v>-8.7480000000000011</v>
      </c>
      <c r="O4" s="15">
        <f t="shared" si="4"/>
        <v>-0.33776061776061783</v>
      </c>
      <c r="P4" s="16">
        <f t="shared" si="5"/>
        <v>49.91379310344827</v>
      </c>
      <c r="Q4" s="41">
        <f t="shared" si="6"/>
        <v>0.2</v>
      </c>
      <c r="T4" s="42"/>
      <c r="U4" s="16">
        <f t="shared" si="7"/>
        <v>59.896551724137922</v>
      </c>
      <c r="V4" s="41">
        <f t="shared" si="8"/>
        <v>0.16666666666666663</v>
      </c>
      <c r="W4" s="17">
        <f t="shared" si="9"/>
        <v>0.29666666666666658</v>
      </c>
      <c r="X4" s="41">
        <f t="shared" si="10"/>
        <v>0.2</v>
      </c>
      <c r="Y4" s="43">
        <f t="shared" si="11"/>
        <v>9.9827586206896548</v>
      </c>
      <c r="Z4" s="43">
        <f t="shared" si="12"/>
        <v>49.91379310344827</v>
      </c>
      <c r="AA4" s="44" t="str">
        <f t="shared" si="13"/>
        <v>OK</v>
      </c>
    </row>
    <row r="5" spans="1:27" ht="15" customHeight="1" x14ac:dyDescent="0.25">
      <c r="A5" s="12" t="s">
        <v>19</v>
      </c>
      <c r="B5" s="40">
        <v>11.75</v>
      </c>
      <c r="C5" s="12" t="s">
        <v>20</v>
      </c>
      <c r="D5" s="40">
        <v>26.9</v>
      </c>
      <c r="E5" s="14"/>
      <c r="F5" s="13">
        <f>D5*G5</f>
        <v>4.4385000000000003</v>
      </c>
      <c r="G5" s="15">
        <v>0.16500000000000001</v>
      </c>
      <c r="H5" s="40">
        <v>7.95</v>
      </c>
      <c r="I5" s="40">
        <v>0</v>
      </c>
      <c r="J5" s="13">
        <f t="shared" si="0"/>
        <v>14.511499999999998</v>
      </c>
      <c r="K5" s="13"/>
      <c r="L5" s="15">
        <f t="shared" si="1"/>
        <v>0.08</v>
      </c>
      <c r="M5" s="13">
        <f t="shared" si="2"/>
        <v>2.1520000000000001</v>
      </c>
      <c r="N5" s="13">
        <f t="shared" si="3"/>
        <v>0.60949999999999793</v>
      </c>
      <c r="O5" s="15">
        <f t="shared" si="4"/>
        <v>2.2657992565055688E-2</v>
      </c>
      <c r="P5" s="16">
        <f t="shared" si="5"/>
        <v>35.495495495495497</v>
      </c>
      <c r="Q5" s="41">
        <f t="shared" si="6"/>
        <v>0.2</v>
      </c>
      <c r="T5" s="42"/>
      <c r="U5" s="16">
        <f t="shared" si="7"/>
        <v>42.594594594594597</v>
      </c>
      <c r="V5" s="41">
        <f t="shared" si="8"/>
        <v>0.16666666666666663</v>
      </c>
      <c r="W5" s="17">
        <f t="shared" si="9"/>
        <v>0.29250000000000004</v>
      </c>
      <c r="X5" s="41">
        <f t="shared" si="10"/>
        <v>0.2</v>
      </c>
      <c r="Y5" s="43">
        <f t="shared" si="11"/>
        <v>7.0990990990990994</v>
      </c>
      <c r="Z5" s="43">
        <f t="shared" si="12"/>
        <v>35.495495495495497</v>
      </c>
      <c r="AA5" s="44" t="str">
        <f t="shared" si="13"/>
        <v>OK</v>
      </c>
    </row>
    <row r="6" spans="1:27" s="55" customFormat="1" ht="15" customHeight="1" x14ac:dyDescent="0.25">
      <c r="A6" s="48" t="s">
        <v>21</v>
      </c>
      <c r="B6" s="49">
        <v>44.95</v>
      </c>
      <c r="C6" s="48" t="s">
        <v>22</v>
      </c>
      <c r="D6" s="49">
        <v>89.9</v>
      </c>
      <c r="E6" s="50">
        <f>D6*G6</f>
        <v>10.338500000000002</v>
      </c>
      <c r="F6" s="51"/>
      <c r="G6" s="52">
        <v>0.115</v>
      </c>
      <c r="H6" s="49">
        <v>0</v>
      </c>
      <c r="I6" s="49">
        <v>12.35</v>
      </c>
      <c r="J6" s="50">
        <f t="shared" si="0"/>
        <v>67.211500000000015</v>
      </c>
      <c r="K6" s="50"/>
      <c r="L6" s="52">
        <f t="shared" si="1"/>
        <v>0.08</v>
      </c>
      <c r="M6" s="50">
        <f t="shared" si="2"/>
        <v>7.1920000000000002</v>
      </c>
      <c r="N6" s="50">
        <f t="shared" si="3"/>
        <v>15.069500000000012</v>
      </c>
      <c r="O6" s="52">
        <f t="shared" si="4"/>
        <v>0.16762513904338167</v>
      </c>
      <c r="P6" s="53">
        <f t="shared" si="5"/>
        <v>74.297520661157037</v>
      </c>
      <c r="Q6" s="54">
        <f t="shared" si="6"/>
        <v>0.20000000000000018</v>
      </c>
      <c r="T6" s="56"/>
      <c r="U6" s="53">
        <f t="shared" si="7"/>
        <v>89.157024793388445</v>
      </c>
      <c r="V6" s="54">
        <f t="shared" si="8"/>
        <v>0.16666666666666663</v>
      </c>
      <c r="W6" s="57">
        <f t="shared" si="9"/>
        <v>0.16231368186874312</v>
      </c>
      <c r="X6" s="54">
        <f t="shared" si="10"/>
        <v>0.20000000000000018</v>
      </c>
      <c r="Y6" s="58">
        <f t="shared" si="11"/>
        <v>14.859504132231422</v>
      </c>
      <c r="Z6" s="58">
        <f t="shared" si="12"/>
        <v>74.297520661157037</v>
      </c>
      <c r="AA6" s="59" t="str">
        <f t="shared" si="13"/>
        <v>OK</v>
      </c>
    </row>
    <row r="7" spans="1:27" ht="15" customHeight="1" x14ac:dyDescent="0.25">
      <c r="A7" s="12" t="s">
        <v>19</v>
      </c>
      <c r="B7" s="40">
        <v>11.75</v>
      </c>
      <c r="C7" s="12" t="s">
        <v>23</v>
      </c>
      <c r="D7" s="40">
        <v>24.9</v>
      </c>
      <c r="E7" s="13">
        <f>D7*G7</f>
        <v>2.8635000000000002</v>
      </c>
      <c r="F7" s="14"/>
      <c r="G7" s="15">
        <v>0.115</v>
      </c>
      <c r="H7" s="40">
        <v>6.55</v>
      </c>
      <c r="I7" s="40">
        <v>0</v>
      </c>
      <c r="J7" s="13">
        <f t="shared" si="0"/>
        <v>15.486499999999996</v>
      </c>
      <c r="K7" s="13"/>
      <c r="L7" s="15">
        <f t="shared" si="1"/>
        <v>0.08</v>
      </c>
      <c r="M7" s="13">
        <f t="shared" si="2"/>
        <v>1.992</v>
      </c>
      <c r="N7" s="13">
        <f t="shared" si="3"/>
        <v>1.7444999999999959</v>
      </c>
      <c r="O7" s="15">
        <f t="shared" si="4"/>
        <v>7.0060240963855269E-2</v>
      </c>
      <c r="P7" s="16">
        <f t="shared" si="5"/>
        <v>30.247933884297524</v>
      </c>
      <c r="Q7" s="41">
        <f t="shared" si="6"/>
        <v>0.20000000000000004</v>
      </c>
      <c r="T7" s="42"/>
      <c r="U7" s="16">
        <f t="shared" si="7"/>
        <v>36.29752066115703</v>
      </c>
      <c r="V7" s="41">
        <f t="shared" si="8"/>
        <v>0.16666666666666674</v>
      </c>
      <c r="W7" s="17">
        <f t="shared" si="9"/>
        <v>0.30083333333333351</v>
      </c>
      <c r="X7" s="41">
        <f t="shared" si="10"/>
        <v>0.20000000000000004</v>
      </c>
      <c r="Y7" s="43">
        <f t="shared" si="11"/>
        <v>6.0495867768595062</v>
      </c>
      <c r="Z7" s="43">
        <f t="shared" si="12"/>
        <v>30.247933884297524</v>
      </c>
      <c r="AA7" s="44" t="str">
        <f t="shared" si="13"/>
        <v>OK</v>
      </c>
    </row>
    <row r="8" spans="1:27" ht="15" customHeight="1" x14ac:dyDescent="0.25">
      <c r="A8" s="12" t="s">
        <v>24</v>
      </c>
      <c r="B8" s="40">
        <v>6.07</v>
      </c>
      <c r="C8" s="12" t="s">
        <v>25</v>
      </c>
      <c r="D8" s="40">
        <v>19.96</v>
      </c>
      <c r="E8" s="14"/>
      <c r="F8" s="13">
        <f>D8*G8</f>
        <v>3.1936</v>
      </c>
      <c r="G8" s="15">
        <v>0.16</v>
      </c>
      <c r="H8" s="40">
        <v>6.55</v>
      </c>
      <c r="I8" s="40">
        <v>0</v>
      </c>
      <c r="J8" s="13">
        <f t="shared" si="0"/>
        <v>10.2164</v>
      </c>
      <c r="K8" s="13"/>
      <c r="L8" s="15">
        <f t="shared" si="1"/>
        <v>0.08</v>
      </c>
      <c r="M8" s="13">
        <f t="shared" si="2"/>
        <v>1.5968</v>
      </c>
      <c r="N8" s="13">
        <f t="shared" si="3"/>
        <v>2.5495999999999999</v>
      </c>
      <c r="O8" s="15">
        <f t="shared" si="4"/>
        <v>0.12773547094188376</v>
      </c>
      <c r="P8" s="16">
        <f t="shared" si="5"/>
        <v>22.535714285714285</v>
      </c>
      <c r="Q8" s="41">
        <f t="shared" si="6"/>
        <v>0.19999999999999996</v>
      </c>
      <c r="T8" s="42"/>
      <c r="U8" s="16">
        <f t="shared" si="7"/>
        <v>27.042857142857141</v>
      </c>
      <c r="V8" s="41">
        <f t="shared" si="8"/>
        <v>0.16666666666666663</v>
      </c>
      <c r="W8" s="17">
        <f t="shared" si="9"/>
        <v>0.29333333333333322</v>
      </c>
      <c r="X8" s="41">
        <f t="shared" si="10"/>
        <v>0.19999999999999996</v>
      </c>
      <c r="Y8" s="43">
        <f t="shared" si="11"/>
        <v>4.5071428571428562</v>
      </c>
      <c r="Z8" s="43">
        <f t="shared" si="12"/>
        <v>22.535714285714285</v>
      </c>
      <c r="AA8" s="44" t="str">
        <f t="shared" si="13"/>
        <v>OK</v>
      </c>
    </row>
    <row r="9" spans="1:27" ht="15" customHeight="1" x14ac:dyDescent="0.25">
      <c r="A9" s="12" t="s">
        <v>24</v>
      </c>
      <c r="B9" s="40">
        <v>6.07</v>
      </c>
      <c r="C9" s="12" t="s">
        <v>26</v>
      </c>
      <c r="D9" s="40">
        <v>19</v>
      </c>
      <c r="E9" s="13">
        <f>D9*G9</f>
        <v>2.09</v>
      </c>
      <c r="F9" s="14"/>
      <c r="G9" s="15">
        <v>0.11</v>
      </c>
      <c r="H9" s="40">
        <v>6.55</v>
      </c>
      <c r="I9" s="40">
        <v>0</v>
      </c>
      <c r="J9" s="13">
        <f t="shared" si="0"/>
        <v>10.36</v>
      </c>
      <c r="K9" s="13"/>
      <c r="L9" s="15">
        <f t="shared" si="1"/>
        <v>0.08</v>
      </c>
      <c r="M9" s="13">
        <f t="shared" si="2"/>
        <v>1.52</v>
      </c>
      <c r="N9" s="13">
        <f t="shared" si="3"/>
        <v>2.7699999999999991</v>
      </c>
      <c r="O9" s="15">
        <f t="shared" si="4"/>
        <v>0.14578947368421047</v>
      </c>
      <c r="P9" s="16">
        <f t="shared" si="5"/>
        <v>20.688524590163933</v>
      </c>
      <c r="Q9" s="41">
        <f t="shared" si="6"/>
        <v>0.19999999999999993</v>
      </c>
      <c r="T9" s="42"/>
      <c r="U9" s="16">
        <f t="shared" si="7"/>
        <v>24.826229508196718</v>
      </c>
      <c r="V9" s="41">
        <f t="shared" si="8"/>
        <v>0.16666666666666663</v>
      </c>
      <c r="W9" s="17">
        <f t="shared" si="9"/>
        <v>0.30166666666666653</v>
      </c>
      <c r="X9" s="41">
        <f t="shared" si="10"/>
        <v>0.19999999999999993</v>
      </c>
      <c r="Y9" s="43">
        <f t="shared" si="11"/>
        <v>4.1377049180327852</v>
      </c>
      <c r="Z9" s="43">
        <f t="shared" si="12"/>
        <v>20.688524590163933</v>
      </c>
      <c r="AA9" s="44" t="str">
        <f t="shared" si="13"/>
        <v>OK</v>
      </c>
    </row>
    <row r="10" spans="1:27" s="68" customFormat="1" ht="15" customHeight="1" x14ac:dyDescent="0.25">
      <c r="A10" s="62" t="s">
        <v>27</v>
      </c>
      <c r="B10" s="63">
        <v>40.200000000000003</v>
      </c>
      <c r="C10" s="62" t="s">
        <v>28</v>
      </c>
      <c r="D10" s="63">
        <v>75.900000000000006</v>
      </c>
      <c r="E10" s="64">
        <f>D10*G10</f>
        <v>8.7285000000000004</v>
      </c>
      <c r="F10" s="65"/>
      <c r="G10" s="66">
        <v>0.115</v>
      </c>
      <c r="H10" s="63">
        <v>7.75</v>
      </c>
      <c r="I10" s="63">
        <v>20</v>
      </c>
      <c r="J10" s="64">
        <f t="shared" si="0"/>
        <v>59.421500000000009</v>
      </c>
      <c r="K10" s="64"/>
      <c r="L10" s="66">
        <f t="shared" si="1"/>
        <v>0.08</v>
      </c>
      <c r="M10" s="64">
        <f t="shared" si="2"/>
        <v>6.072000000000001</v>
      </c>
      <c r="N10" s="50">
        <f t="shared" si="3"/>
        <v>13.149500000000005</v>
      </c>
      <c r="O10" s="66">
        <f t="shared" si="4"/>
        <v>0.1732476943346509</v>
      </c>
      <c r="P10" s="67">
        <f t="shared" si="5"/>
        <v>78.989999999999995</v>
      </c>
      <c r="Q10" s="54">
        <f t="shared" si="6"/>
        <v>0.19796113432080001</v>
      </c>
      <c r="T10" s="69"/>
      <c r="U10" s="67">
        <f t="shared" si="7"/>
        <v>94.787999999999997</v>
      </c>
      <c r="V10" s="54">
        <f t="shared" si="8"/>
        <v>0.16666666666666674</v>
      </c>
      <c r="W10" s="70">
        <f t="shared" si="9"/>
        <v>0.16989851035996112</v>
      </c>
      <c r="X10" s="54">
        <f t="shared" si="10"/>
        <v>0.19796113432080001</v>
      </c>
      <c r="Y10" s="58">
        <f t="shared" si="11"/>
        <v>15.636949999999992</v>
      </c>
      <c r="Z10" s="58">
        <f t="shared" si="12"/>
        <v>78.989999999999995</v>
      </c>
      <c r="AA10" s="59" t="str">
        <f t="shared" si="13"/>
        <v>Forçado &lt;79 (evita frete)</v>
      </c>
    </row>
    <row r="11" spans="1:27" ht="15" customHeight="1" x14ac:dyDescent="0.25">
      <c r="A11" s="12" t="s">
        <v>27</v>
      </c>
      <c r="B11" s="40">
        <v>40.200000000000003</v>
      </c>
      <c r="C11" s="12" t="s">
        <v>29</v>
      </c>
      <c r="D11" s="40">
        <v>78.98</v>
      </c>
      <c r="E11" s="14"/>
      <c r="F11" s="13">
        <f>D11*G11</f>
        <v>13.031700000000001</v>
      </c>
      <c r="G11" s="15">
        <v>0.16500000000000001</v>
      </c>
      <c r="H11" s="40">
        <v>7.75</v>
      </c>
      <c r="I11" s="40">
        <v>0</v>
      </c>
      <c r="J11" s="13">
        <f t="shared" si="0"/>
        <v>58.198300000000003</v>
      </c>
      <c r="K11" s="13"/>
      <c r="L11" s="15">
        <f t="shared" si="1"/>
        <v>0.08</v>
      </c>
      <c r="M11" s="13">
        <f t="shared" si="2"/>
        <v>6.3184000000000005</v>
      </c>
      <c r="N11" s="13">
        <f t="shared" si="3"/>
        <v>11.6799</v>
      </c>
      <c r="O11" s="15">
        <f t="shared" si="4"/>
        <v>0.14788427449987337</v>
      </c>
      <c r="P11" s="16">
        <f t="shared" si="5"/>
        <v>79</v>
      </c>
      <c r="Q11" s="41">
        <f t="shared" si="6"/>
        <v>0.24613924050632913</v>
      </c>
      <c r="T11" s="42"/>
      <c r="U11" s="16">
        <f t="shared" si="7"/>
        <v>94.8</v>
      </c>
      <c r="V11" s="41">
        <f t="shared" si="8"/>
        <v>0.16666666666666663</v>
      </c>
      <c r="W11" s="17">
        <f t="shared" si="9"/>
        <v>0.33094936708860756</v>
      </c>
      <c r="X11" s="41">
        <f t="shared" si="10"/>
        <v>0.24613924050632913</v>
      </c>
      <c r="Y11" s="43">
        <f t="shared" si="11"/>
        <v>19.445</v>
      </c>
      <c r="Z11" s="43">
        <f t="shared" si="12"/>
        <v>79</v>
      </c>
      <c r="AA11" s="44" t="str">
        <f t="shared" si="13"/>
        <v>⚠ Subiu p/ frete (I=0)</v>
      </c>
    </row>
    <row r="12" spans="1:27" ht="15" customHeight="1" x14ac:dyDescent="0.25">
      <c r="A12" s="12" t="s">
        <v>30</v>
      </c>
      <c r="B12" s="45" t="s">
        <v>32</v>
      </c>
      <c r="C12" s="12" t="s">
        <v>31</v>
      </c>
      <c r="D12" s="40">
        <v>21.9</v>
      </c>
      <c r="E12" s="14"/>
      <c r="F12" s="13">
        <f>D12*G12</f>
        <v>3.6135000000000002</v>
      </c>
      <c r="G12" s="15">
        <v>0.16500000000000001</v>
      </c>
      <c r="H12" s="40">
        <v>6.55</v>
      </c>
      <c r="I12" s="40">
        <v>0</v>
      </c>
      <c r="J12" s="13">
        <f t="shared" si="0"/>
        <v>11.736499999999996</v>
      </c>
      <c r="K12" s="14"/>
      <c r="L12" s="15">
        <f t="shared" si="1"/>
        <v>0.08</v>
      </c>
      <c r="M12" s="13">
        <f t="shared" si="2"/>
        <v>1.752</v>
      </c>
      <c r="N12" s="13">
        <f t="shared" si="3"/>
        <v>9.9844999999999953</v>
      </c>
      <c r="O12" s="15">
        <f t="shared" si="4"/>
        <v>0.45591324200913225</v>
      </c>
      <c r="P12" s="16" t="str">
        <f t="shared" si="5"/>
        <v/>
      </c>
      <c r="Q12" s="41" t="str">
        <f t="shared" si="6"/>
        <v/>
      </c>
      <c r="T12" s="42"/>
      <c r="U12" s="16" t="str">
        <f t="shared" si="7"/>
        <v/>
      </c>
      <c r="V12" s="41" t="str">
        <f t="shared" si="8"/>
        <v/>
      </c>
      <c r="W12" s="17" t="str">
        <f t="shared" si="9"/>
        <v/>
      </c>
      <c r="X12" s="41" t="str">
        <f t="shared" si="10"/>
        <v/>
      </c>
      <c r="Y12" s="43" t="str">
        <f t="shared" si="11"/>
        <v/>
      </c>
      <c r="Z12" s="43" t="str">
        <f t="shared" si="12"/>
        <v/>
      </c>
      <c r="AA12" s="44" t="str">
        <f t="shared" si="13"/>
        <v>Sem custo</v>
      </c>
    </row>
    <row r="13" spans="1:27" ht="15" customHeight="1" x14ac:dyDescent="0.25">
      <c r="A13" s="12" t="s">
        <v>30</v>
      </c>
      <c r="B13" s="45" t="s">
        <v>32</v>
      </c>
      <c r="C13" s="12" t="s">
        <v>33</v>
      </c>
      <c r="D13" s="40">
        <v>20.99</v>
      </c>
      <c r="E13" s="13">
        <f>D13*G13</f>
        <v>2.6237499999999998</v>
      </c>
      <c r="F13" s="14"/>
      <c r="G13" s="15">
        <v>0.125</v>
      </c>
      <c r="H13" s="40">
        <v>6.55</v>
      </c>
      <c r="I13" s="40">
        <v>0</v>
      </c>
      <c r="J13" s="13">
        <f t="shared" si="0"/>
        <v>11.816249999999997</v>
      </c>
      <c r="K13" s="14"/>
      <c r="L13" s="15">
        <f t="shared" si="1"/>
        <v>0.08</v>
      </c>
      <c r="M13" s="13">
        <f t="shared" si="2"/>
        <v>1.6791999999999998</v>
      </c>
      <c r="N13" s="13">
        <f t="shared" si="3"/>
        <v>10.137049999999997</v>
      </c>
      <c r="O13" s="15">
        <f t="shared" si="4"/>
        <v>0.48294664125774167</v>
      </c>
      <c r="P13" s="16" t="str">
        <f t="shared" si="5"/>
        <v/>
      </c>
      <c r="Q13" s="41" t="str">
        <f t="shared" si="6"/>
        <v/>
      </c>
      <c r="T13" s="42"/>
      <c r="U13" s="16" t="str">
        <f t="shared" si="7"/>
        <v/>
      </c>
      <c r="V13" s="41" t="str">
        <f t="shared" si="8"/>
        <v/>
      </c>
      <c r="W13" s="17" t="str">
        <f t="shared" si="9"/>
        <v/>
      </c>
      <c r="X13" s="41" t="str">
        <f t="shared" si="10"/>
        <v/>
      </c>
      <c r="Y13" s="43" t="str">
        <f t="shared" si="11"/>
        <v/>
      </c>
      <c r="Z13" s="43" t="str">
        <f t="shared" si="12"/>
        <v/>
      </c>
      <c r="AA13" s="44" t="str">
        <f t="shared" si="13"/>
        <v>Sem custo</v>
      </c>
    </row>
    <row r="14" spans="1:27" ht="15" customHeight="1" x14ac:dyDescent="0.25">
      <c r="A14" s="12" t="s">
        <v>27</v>
      </c>
      <c r="B14" s="40">
        <v>40.200000000000003</v>
      </c>
      <c r="C14" s="12" t="s">
        <v>34</v>
      </c>
      <c r="D14" s="40">
        <v>75.900000000000006</v>
      </c>
      <c r="E14" s="13">
        <f>D14*G14</f>
        <v>8.7285000000000004</v>
      </c>
      <c r="F14" s="14"/>
      <c r="G14" s="15">
        <v>0.115</v>
      </c>
      <c r="H14" s="40">
        <v>7.75</v>
      </c>
      <c r="I14" s="40">
        <v>0</v>
      </c>
      <c r="J14" s="13">
        <f t="shared" si="0"/>
        <v>59.421500000000009</v>
      </c>
      <c r="K14" s="13"/>
      <c r="L14" s="15">
        <f t="shared" si="1"/>
        <v>0.08</v>
      </c>
      <c r="M14" s="13">
        <f t="shared" si="2"/>
        <v>6.072000000000001</v>
      </c>
      <c r="N14" s="13">
        <f t="shared" si="3"/>
        <v>13.149500000000005</v>
      </c>
      <c r="O14" s="15">
        <f t="shared" si="4"/>
        <v>0.1732476943346509</v>
      </c>
      <c r="P14" s="16">
        <f t="shared" si="5"/>
        <v>78.989999999999995</v>
      </c>
      <c r="Q14" s="41">
        <f t="shared" si="6"/>
        <v>0.19796113432080001</v>
      </c>
      <c r="T14" s="42"/>
      <c r="U14" s="16">
        <f t="shared" si="7"/>
        <v>94.787999999999997</v>
      </c>
      <c r="V14" s="41">
        <f t="shared" si="8"/>
        <v>0.16666666666666674</v>
      </c>
      <c r="W14" s="17">
        <f t="shared" si="9"/>
        <v>0.38089568299784776</v>
      </c>
      <c r="X14" s="41">
        <f t="shared" si="10"/>
        <v>0.19796113432080001</v>
      </c>
      <c r="Y14" s="43">
        <f t="shared" si="11"/>
        <v>15.636949999999992</v>
      </c>
      <c r="Z14" s="43">
        <f t="shared" si="12"/>
        <v>78.989999999999995</v>
      </c>
      <c r="AA14" s="44" t="str">
        <f t="shared" si="13"/>
        <v>Forçado &lt;79 (evita frete)</v>
      </c>
    </row>
    <row r="15" spans="1:27" ht="15" customHeight="1" x14ac:dyDescent="0.25">
      <c r="A15" s="12" t="s">
        <v>35</v>
      </c>
      <c r="B15" s="40">
        <v>106.13</v>
      </c>
      <c r="C15" s="12" t="s">
        <v>36</v>
      </c>
      <c r="D15" s="40">
        <v>196.91</v>
      </c>
      <c r="E15" s="14"/>
      <c r="F15" s="13">
        <f>D15*G15</f>
        <v>28.551949999999998</v>
      </c>
      <c r="G15" s="15">
        <v>0.14499999999999999</v>
      </c>
      <c r="H15" s="40">
        <v>0</v>
      </c>
      <c r="I15" s="40">
        <v>21.15</v>
      </c>
      <c r="J15" s="13">
        <f t="shared" si="0"/>
        <v>147.20804999999999</v>
      </c>
      <c r="K15" s="13"/>
      <c r="L15" s="15">
        <f t="shared" si="1"/>
        <v>0.08</v>
      </c>
      <c r="M15" s="13">
        <f t="shared" si="2"/>
        <v>15.752800000000001</v>
      </c>
      <c r="N15" s="13">
        <f t="shared" si="3"/>
        <v>25.32524999999999</v>
      </c>
      <c r="O15" s="15">
        <f t="shared" si="4"/>
        <v>0.128613325884922</v>
      </c>
      <c r="P15" s="16">
        <f t="shared" si="5"/>
        <v>221.35652173913044</v>
      </c>
      <c r="Q15" s="41">
        <f t="shared" si="6"/>
        <v>0.2</v>
      </c>
      <c r="T15" s="42"/>
      <c r="U15" s="16">
        <f t="shared" si="7"/>
        <v>265.62782608695653</v>
      </c>
      <c r="V15" s="41">
        <f t="shared" si="8"/>
        <v>0.16666666666666663</v>
      </c>
      <c r="W15" s="17">
        <f t="shared" si="9"/>
        <v>0.29583333333333328</v>
      </c>
      <c r="X15" s="41">
        <f t="shared" si="10"/>
        <v>0.2</v>
      </c>
      <c r="Y15" s="43">
        <f t="shared" si="11"/>
        <v>44.271304347826089</v>
      </c>
      <c r="Z15" s="43">
        <f t="shared" si="12"/>
        <v>221.35652173913044</v>
      </c>
      <c r="AA15" s="44" t="str">
        <f t="shared" si="13"/>
        <v>OK</v>
      </c>
    </row>
    <row r="16" spans="1:27" ht="15" customHeight="1" x14ac:dyDescent="0.25">
      <c r="A16" s="12" t="s">
        <v>35</v>
      </c>
      <c r="B16" s="40">
        <v>106.13</v>
      </c>
      <c r="C16" s="12" t="s">
        <v>37</v>
      </c>
      <c r="D16" s="40">
        <v>196.91</v>
      </c>
      <c r="E16" s="14"/>
      <c r="F16" s="13">
        <f>D16*G16</f>
        <v>28.551949999999998</v>
      </c>
      <c r="G16" s="15">
        <v>0.14499999999999999</v>
      </c>
      <c r="H16" s="40">
        <v>0</v>
      </c>
      <c r="I16" s="40">
        <v>21.15</v>
      </c>
      <c r="J16" s="13">
        <f t="shared" si="0"/>
        <v>147.20804999999999</v>
      </c>
      <c r="K16" s="13"/>
      <c r="L16" s="15">
        <f t="shared" si="1"/>
        <v>0.08</v>
      </c>
      <c r="M16" s="13">
        <f t="shared" si="2"/>
        <v>15.752800000000001</v>
      </c>
      <c r="N16" s="13">
        <f t="shared" si="3"/>
        <v>25.32524999999999</v>
      </c>
      <c r="O16" s="15">
        <f t="shared" si="4"/>
        <v>0.128613325884922</v>
      </c>
      <c r="P16" s="16">
        <f t="shared" si="5"/>
        <v>221.35652173913044</v>
      </c>
      <c r="Q16" s="41">
        <f t="shared" si="6"/>
        <v>0.2</v>
      </c>
      <c r="T16" s="42"/>
      <c r="U16" s="16">
        <f t="shared" si="7"/>
        <v>265.62782608695653</v>
      </c>
      <c r="V16" s="41">
        <f t="shared" si="8"/>
        <v>0.16666666666666663</v>
      </c>
      <c r="W16" s="17">
        <f t="shared" si="9"/>
        <v>0.29583333333333328</v>
      </c>
      <c r="X16" s="41">
        <f t="shared" si="10"/>
        <v>0.2</v>
      </c>
      <c r="Y16" s="43">
        <f t="shared" si="11"/>
        <v>44.271304347826089</v>
      </c>
      <c r="Z16" s="43">
        <f t="shared" si="12"/>
        <v>221.35652173913044</v>
      </c>
      <c r="AA16" s="44" t="str">
        <f t="shared" si="13"/>
        <v>OK</v>
      </c>
    </row>
    <row r="17" spans="1:27" ht="15" customHeight="1" x14ac:dyDescent="0.25">
      <c r="A17" s="12" t="s">
        <v>35</v>
      </c>
      <c r="B17" s="40">
        <v>106.13</v>
      </c>
      <c r="C17" s="12" t="s">
        <v>38</v>
      </c>
      <c r="D17" s="40">
        <v>189.9</v>
      </c>
      <c r="E17" s="13">
        <f>D17*G17</f>
        <v>21.838500000000003</v>
      </c>
      <c r="F17" s="14"/>
      <c r="G17" s="15">
        <v>0.115</v>
      </c>
      <c r="H17" s="40">
        <v>0</v>
      </c>
      <c r="I17" s="40">
        <v>21.15</v>
      </c>
      <c r="J17" s="13">
        <f t="shared" si="0"/>
        <v>146.91149999999999</v>
      </c>
      <c r="K17" s="13"/>
      <c r="L17" s="15">
        <f t="shared" si="1"/>
        <v>0.08</v>
      </c>
      <c r="M17" s="13">
        <f t="shared" si="2"/>
        <v>15.192</v>
      </c>
      <c r="N17" s="13">
        <f t="shared" si="3"/>
        <v>25.589499999999994</v>
      </c>
      <c r="O17" s="15">
        <f t="shared" si="4"/>
        <v>0.13475250131648231</v>
      </c>
      <c r="P17" s="16">
        <f t="shared" si="5"/>
        <v>210.38016528925621</v>
      </c>
      <c r="Q17" s="41">
        <f t="shared" si="6"/>
        <v>0.20000000000000004</v>
      </c>
      <c r="T17" s="42"/>
      <c r="U17" s="16">
        <f t="shared" si="7"/>
        <v>252.45619834710743</v>
      </c>
      <c r="V17" s="41">
        <f t="shared" si="8"/>
        <v>0.16666666666666663</v>
      </c>
      <c r="W17" s="17">
        <f t="shared" si="9"/>
        <v>0.30083333333333334</v>
      </c>
      <c r="X17" s="41">
        <f t="shared" si="10"/>
        <v>0.20000000000000004</v>
      </c>
      <c r="Y17" s="43">
        <f t="shared" si="11"/>
        <v>42.076033057851248</v>
      </c>
      <c r="Z17" s="43">
        <f t="shared" si="12"/>
        <v>210.38016528925621</v>
      </c>
      <c r="AA17" s="44" t="str">
        <f t="shared" si="13"/>
        <v>OK</v>
      </c>
    </row>
    <row r="18" spans="1:27" s="22" customFormat="1" ht="15" customHeight="1" x14ac:dyDescent="0.25">
      <c r="A18" s="18" t="s">
        <v>39</v>
      </c>
      <c r="B18" s="40">
        <v>41.4</v>
      </c>
      <c r="C18" s="18" t="s">
        <v>40</v>
      </c>
      <c r="D18" s="40">
        <v>125.07</v>
      </c>
      <c r="E18" s="20"/>
      <c r="F18" s="19">
        <f>D18*G18</f>
        <v>20.63655</v>
      </c>
      <c r="G18" s="21">
        <v>0.16500000000000001</v>
      </c>
      <c r="H18" s="40">
        <v>0</v>
      </c>
      <c r="I18" s="40">
        <v>18.850000000000001</v>
      </c>
      <c r="J18" s="19">
        <f t="shared" si="0"/>
        <v>85.583449999999999</v>
      </c>
      <c r="K18" s="19"/>
      <c r="L18" s="21">
        <f t="shared" si="1"/>
        <v>0.08</v>
      </c>
      <c r="M18" s="19">
        <f t="shared" si="2"/>
        <v>10.005599999999999</v>
      </c>
      <c r="N18" s="19">
        <f t="shared" si="3"/>
        <v>34.177849999999999</v>
      </c>
      <c r="O18" s="21">
        <f t="shared" si="4"/>
        <v>0.27326976892939953</v>
      </c>
      <c r="P18" s="23">
        <f t="shared" si="5"/>
        <v>74.594594594594597</v>
      </c>
      <c r="Q18" s="41">
        <f t="shared" si="6"/>
        <v>0.2</v>
      </c>
      <c r="T18" s="42"/>
      <c r="U18" s="16">
        <f t="shared" si="7"/>
        <v>89.513513513513516</v>
      </c>
      <c r="V18" s="41">
        <f t="shared" si="8"/>
        <v>0.16666666666666663</v>
      </c>
      <c r="W18" s="17">
        <f t="shared" si="9"/>
        <v>8.1917270531400979E-2</v>
      </c>
      <c r="X18" s="41">
        <f t="shared" si="10"/>
        <v>0.2</v>
      </c>
      <c r="Y18" s="43">
        <f t="shared" si="11"/>
        <v>14.918918918918919</v>
      </c>
      <c r="Z18" s="43">
        <f t="shared" si="12"/>
        <v>74.594594594594597</v>
      </c>
      <c r="AA18" s="44" t="str">
        <f t="shared" si="13"/>
        <v>OK</v>
      </c>
    </row>
    <row r="19" spans="1:27" s="28" customFormat="1" ht="15" customHeight="1" x14ac:dyDescent="0.25">
      <c r="A19" s="24" t="s">
        <v>39</v>
      </c>
      <c r="B19" s="40">
        <v>41.4</v>
      </c>
      <c r="C19" s="24" t="s">
        <v>41</v>
      </c>
      <c r="D19" s="40">
        <v>127.74</v>
      </c>
      <c r="E19" s="25">
        <f>D19*G19</f>
        <v>14.690099999999999</v>
      </c>
      <c r="F19" s="26"/>
      <c r="G19" s="27">
        <v>0.115</v>
      </c>
      <c r="H19" s="40">
        <v>0</v>
      </c>
      <c r="I19" s="40">
        <v>18.850000000000001</v>
      </c>
      <c r="J19" s="25">
        <f t="shared" si="0"/>
        <v>94.199899999999985</v>
      </c>
      <c r="K19" s="25"/>
      <c r="L19" s="27">
        <f t="shared" si="1"/>
        <v>0.08</v>
      </c>
      <c r="M19" s="25">
        <f t="shared" si="2"/>
        <v>10.219199999999999</v>
      </c>
      <c r="N19" s="25">
        <f t="shared" si="3"/>
        <v>42.580699999999986</v>
      </c>
      <c r="O19" s="27">
        <f t="shared" si="4"/>
        <v>0.33333881321434156</v>
      </c>
      <c r="P19" s="29">
        <f t="shared" si="5"/>
        <v>68.429752066115697</v>
      </c>
      <c r="Q19" s="41">
        <f t="shared" si="6"/>
        <v>0.2</v>
      </c>
      <c r="T19" s="42"/>
      <c r="U19" s="16">
        <f t="shared" si="7"/>
        <v>82.115702479338836</v>
      </c>
      <c r="V19" s="41">
        <f t="shared" si="8"/>
        <v>0.16666666666666663</v>
      </c>
      <c r="W19" s="17">
        <f t="shared" si="9"/>
        <v>7.127918679549107E-2</v>
      </c>
      <c r="X19" s="41">
        <f t="shared" si="10"/>
        <v>0.2</v>
      </c>
      <c r="Y19" s="43">
        <f t="shared" si="11"/>
        <v>13.685950413223139</v>
      </c>
      <c r="Z19" s="43">
        <f t="shared" si="12"/>
        <v>68.429752066115697</v>
      </c>
      <c r="AA19" s="44" t="str">
        <f t="shared" si="13"/>
        <v>OK</v>
      </c>
    </row>
    <row r="20" spans="1:27" ht="15" customHeight="1" x14ac:dyDescent="0.25">
      <c r="A20" s="12" t="s">
        <v>42</v>
      </c>
      <c r="B20" s="45" t="s">
        <v>32</v>
      </c>
      <c r="C20" s="12" t="s">
        <v>43</v>
      </c>
      <c r="D20" s="40">
        <v>160.44999999999999</v>
      </c>
      <c r="E20" s="14"/>
      <c r="F20" s="13">
        <f>D20*G20</f>
        <v>23.265249999999998</v>
      </c>
      <c r="G20" s="15">
        <v>0.14499999999999999</v>
      </c>
      <c r="H20" s="40">
        <v>0</v>
      </c>
      <c r="I20" s="40">
        <v>20.75</v>
      </c>
      <c r="J20" s="13">
        <f t="shared" si="0"/>
        <v>116.43474999999998</v>
      </c>
      <c r="K20" s="14"/>
      <c r="L20" s="15">
        <f t="shared" si="1"/>
        <v>0.08</v>
      </c>
      <c r="M20" s="13">
        <f t="shared" si="2"/>
        <v>12.835999999999999</v>
      </c>
      <c r="N20" s="13">
        <f t="shared" si="3"/>
        <v>103.59874999999998</v>
      </c>
      <c r="O20" s="15">
        <f t="shared" si="4"/>
        <v>0.64567622312246797</v>
      </c>
      <c r="P20" s="16" t="str">
        <f t="shared" si="5"/>
        <v/>
      </c>
      <c r="Q20" s="41" t="str">
        <f t="shared" si="6"/>
        <v/>
      </c>
      <c r="T20" s="42"/>
      <c r="U20" s="16" t="str">
        <f t="shared" si="7"/>
        <v/>
      </c>
      <c r="V20" s="41" t="str">
        <f t="shared" si="8"/>
        <v/>
      </c>
      <c r="W20" s="17" t="str">
        <f t="shared" si="9"/>
        <v/>
      </c>
      <c r="X20" s="41" t="str">
        <f t="shared" si="10"/>
        <v/>
      </c>
      <c r="Y20" s="43" t="str">
        <f t="shared" si="11"/>
        <v/>
      </c>
      <c r="Z20" s="43" t="str">
        <f t="shared" si="12"/>
        <v/>
      </c>
      <c r="AA20" s="44" t="str">
        <f t="shared" si="13"/>
        <v>Sem custo</v>
      </c>
    </row>
    <row r="21" spans="1:27" ht="15" customHeight="1" x14ac:dyDescent="0.25">
      <c r="A21" s="12" t="s">
        <v>42</v>
      </c>
      <c r="B21" s="45" t="s">
        <v>32</v>
      </c>
      <c r="C21" s="12" t="s">
        <v>44</v>
      </c>
      <c r="D21" s="40">
        <v>160.44999999999999</v>
      </c>
      <c r="E21" s="14"/>
      <c r="F21" s="13">
        <f>D21*G21</f>
        <v>23.265249999999998</v>
      </c>
      <c r="G21" s="15">
        <v>0.14499999999999999</v>
      </c>
      <c r="H21" s="40">
        <v>0</v>
      </c>
      <c r="I21" s="40">
        <v>20.75</v>
      </c>
      <c r="J21" s="13">
        <f t="shared" si="0"/>
        <v>116.43474999999998</v>
      </c>
      <c r="K21" s="14"/>
      <c r="L21" s="15">
        <f t="shared" si="1"/>
        <v>0.08</v>
      </c>
      <c r="M21" s="13">
        <f t="shared" si="2"/>
        <v>12.835999999999999</v>
      </c>
      <c r="N21" s="13">
        <f t="shared" si="3"/>
        <v>103.59874999999998</v>
      </c>
      <c r="O21" s="15">
        <f t="shared" si="4"/>
        <v>0.64567622312246797</v>
      </c>
      <c r="P21" s="16" t="str">
        <f t="shared" si="5"/>
        <v/>
      </c>
      <c r="Q21" s="41" t="str">
        <f t="shared" si="6"/>
        <v/>
      </c>
      <c r="T21" s="42"/>
      <c r="U21" s="16" t="str">
        <f t="shared" si="7"/>
        <v/>
      </c>
      <c r="V21" s="41" t="str">
        <f t="shared" si="8"/>
        <v/>
      </c>
      <c r="W21" s="17" t="str">
        <f t="shared" si="9"/>
        <v/>
      </c>
      <c r="X21" s="41" t="str">
        <f t="shared" si="10"/>
        <v/>
      </c>
      <c r="Y21" s="43" t="str">
        <f t="shared" si="11"/>
        <v/>
      </c>
      <c r="Z21" s="43" t="str">
        <f t="shared" si="12"/>
        <v/>
      </c>
      <c r="AA21" s="44" t="str">
        <f t="shared" si="13"/>
        <v>Sem custo</v>
      </c>
    </row>
    <row r="22" spans="1:27" ht="15" customHeight="1" x14ac:dyDescent="0.25">
      <c r="A22" s="12" t="s">
        <v>42</v>
      </c>
      <c r="B22" s="45" t="s">
        <v>32</v>
      </c>
      <c r="C22" s="12" t="s">
        <v>45</v>
      </c>
      <c r="D22" s="40">
        <v>153.88999999999999</v>
      </c>
      <c r="E22" s="13">
        <f>D22*G22</f>
        <v>17.69735</v>
      </c>
      <c r="F22" s="14"/>
      <c r="G22" s="15">
        <v>0.115</v>
      </c>
      <c r="H22" s="40">
        <v>0</v>
      </c>
      <c r="I22" s="40">
        <v>20.75</v>
      </c>
      <c r="J22" s="13">
        <f t="shared" si="0"/>
        <v>115.44264999999999</v>
      </c>
      <c r="K22" s="14"/>
      <c r="L22" s="15">
        <f t="shared" si="1"/>
        <v>0.08</v>
      </c>
      <c r="M22" s="13">
        <f t="shared" si="2"/>
        <v>12.311199999999999</v>
      </c>
      <c r="N22" s="13">
        <f t="shared" si="3"/>
        <v>103.13144999999999</v>
      </c>
      <c r="O22" s="15">
        <f t="shared" si="4"/>
        <v>0.67016342842289944</v>
      </c>
      <c r="P22" s="16" t="str">
        <f t="shared" si="5"/>
        <v/>
      </c>
      <c r="Q22" s="41" t="str">
        <f t="shared" si="6"/>
        <v/>
      </c>
      <c r="T22" s="42"/>
      <c r="U22" s="16" t="str">
        <f t="shared" si="7"/>
        <v/>
      </c>
      <c r="V22" s="41" t="str">
        <f t="shared" si="8"/>
        <v/>
      </c>
      <c r="W22" s="17" t="str">
        <f t="shared" si="9"/>
        <v/>
      </c>
      <c r="X22" s="41" t="str">
        <f t="shared" si="10"/>
        <v/>
      </c>
      <c r="Y22" s="43" t="str">
        <f t="shared" si="11"/>
        <v/>
      </c>
      <c r="Z22" s="43" t="str">
        <f t="shared" si="12"/>
        <v/>
      </c>
      <c r="AA22" s="44" t="str">
        <f t="shared" si="13"/>
        <v>Sem custo</v>
      </c>
    </row>
    <row r="23" spans="1:27" ht="15" customHeight="1" x14ac:dyDescent="0.25">
      <c r="A23" s="12" t="s">
        <v>46</v>
      </c>
      <c r="B23" s="40">
        <v>162</v>
      </c>
      <c r="C23" s="12" t="s">
        <v>47</v>
      </c>
      <c r="D23" s="40">
        <v>285.56</v>
      </c>
      <c r="E23" s="14"/>
      <c r="F23" s="13">
        <f>D23*G23</f>
        <v>41.406199999999998</v>
      </c>
      <c r="G23" s="15">
        <v>0.14499999999999999</v>
      </c>
      <c r="H23" s="40">
        <v>0</v>
      </c>
      <c r="I23" s="40">
        <v>24.65</v>
      </c>
      <c r="J23" s="13">
        <f t="shared" si="0"/>
        <v>219.50379999999998</v>
      </c>
      <c r="K23" s="13"/>
      <c r="L23" s="15">
        <f t="shared" si="1"/>
        <v>0.08</v>
      </c>
      <c r="M23" s="13">
        <f t="shared" si="2"/>
        <v>22.844799999999999</v>
      </c>
      <c r="N23" s="13">
        <f t="shared" si="3"/>
        <v>34.658999999999985</v>
      </c>
      <c r="O23" s="15">
        <f t="shared" si="4"/>
        <v>0.12137204090208707</v>
      </c>
      <c r="P23" s="16">
        <f t="shared" si="5"/>
        <v>324.60869565217394</v>
      </c>
      <c r="Q23" s="41">
        <f t="shared" si="6"/>
        <v>0.2</v>
      </c>
      <c r="T23" s="42"/>
      <c r="U23" s="16">
        <f t="shared" si="7"/>
        <v>389.53043478260872</v>
      </c>
      <c r="V23" s="41">
        <f t="shared" si="8"/>
        <v>0.16666666666666663</v>
      </c>
      <c r="W23" s="17">
        <f t="shared" si="9"/>
        <v>0.29583333333333356</v>
      </c>
      <c r="X23" s="41">
        <f t="shared" si="10"/>
        <v>0.2</v>
      </c>
      <c r="Y23" s="43">
        <f t="shared" si="11"/>
        <v>64.921739130434787</v>
      </c>
      <c r="Z23" s="43">
        <f t="shared" si="12"/>
        <v>324.60869565217394</v>
      </c>
      <c r="AA23" s="44" t="str">
        <f t="shared" si="13"/>
        <v>OK</v>
      </c>
    </row>
    <row r="24" spans="1:27" ht="15" customHeight="1" x14ac:dyDescent="0.25">
      <c r="A24" s="12" t="s">
        <v>46</v>
      </c>
      <c r="B24" s="40">
        <v>162</v>
      </c>
      <c r="C24" s="12" t="s">
        <v>48</v>
      </c>
      <c r="D24" s="40">
        <v>269.89999999999998</v>
      </c>
      <c r="E24" s="13">
        <f>D24*G24</f>
        <v>31.038499999999999</v>
      </c>
      <c r="F24" s="14"/>
      <c r="G24" s="15">
        <v>0.115</v>
      </c>
      <c r="H24" s="40">
        <v>0</v>
      </c>
      <c r="I24" s="40">
        <v>24.65</v>
      </c>
      <c r="J24" s="13">
        <f t="shared" si="0"/>
        <v>214.21149999999997</v>
      </c>
      <c r="K24" s="13"/>
      <c r="L24" s="15">
        <f t="shared" si="1"/>
        <v>0.08</v>
      </c>
      <c r="M24" s="13">
        <f t="shared" si="2"/>
        <v>21.591999999999999</v>
      </c>
      <c r="N24" s="13">
        <f t="shared" si="3"/>
        <v>30.619499999999974</v>
      </c>
      <c r="O24" s="15">
        <f t="shared" si="4"/>
        <v>0.11344757317525</v>
      </c>
      <c r="P24" s="16">
        <f t="shared" si="5"/>
        <v>308.51239669421489</v>
      </c>
      <c r="Q24" s="41">
        <f t="shared" si="6"/>
        <v>0.1999999999999999</v>
      </c>
      <c r="T24" s="42"/>
      <c r="U24" s="16">
        <f t="shared" si="7"/>
        <v>370.21487603305786</v>
      </c>
      <c r="V24" s="41">
        <f t="shared" si="8"/>
        <v>0.16666666666666663</v>
      </c>
      <c r="W24" s="17">
        <f t="shared" si="9"/>
        <v>0.30083333333333345</v>
      </c>
      <c r="X24" s="41">
        <f t="shared" si="10"/>
        <v>0.1999999999999999</v>
      </c>
      <c r="Y24" s="43">
        <f t="shared" si="11"/>
        <v>61.702479338842949</v>
      </c>
      <c r="Z24" s="43">
        <f t="shared" si="12"/>
        <v>308.51239669421489</v>
      </c>
      <c r="AA24" s="44" t="str">
        <f t="shared" si="13"/>
        <v>OK</v>
      </c>
    </row>
    <row r="25" spans="1:27" ht="15" customHeight="1" x14ac:dyDescent="0.25">
      <c r="A25" s="12" t="s">
        <v>49</v>
      </c>
      <c r="B25" s="40">
        <v>5.48</v>
      </c>
      <c r="C25" s="12" t="s">
        <v>50</v>
      </c>
      <c r="D25" s="40">
        <v>17.899999999999999</v>
      </c>
      <c r="E25" s="13">
        <f>D25*G25</f>
        <v>2.0585</v>
      </c>
      <c r="F25" s="14"/>
      <c r="G25" s="15">
        <v>0.115</v>
      </c>
      <c r="H25" s="40">
        <v>8.5500000000000007</v>
      </c>
      <c r="I25" s="40">
        <v>0</v>
      </c>
      <c r="J25" s="13">
        <f t="shared" si="0"/>
        <v>7.2914999999999974</v>
      </c>
      <c r="K25" s="13"/>
      <c r="L25" s="15">
        <f t="shared" si="1"/>
        <v>0.08</v>
      </c>
      <c r="M25" s="13">
        <f t="shared" si="2"/>
        <v>1.4319999999999999</v>
      </c>
      <c r="N25" s="13">
        <f t="shared" si="3"/>
        <v>0.37949999999999706</v>
      </c>
      <c r="O25" s="15">
        <f t="shared" si="4"/>
        <v>2.1201117318435592E-2</v>
      </c>
      <c r="P25" s="16">
        <f t="shared" si="5"/>
        <v>23.190082644628102</v>
      </c>
      <c r="Q25" s="41">
        <f t="shared" si="6"/>
        <v>0.19999999999999998</v>
      </c>
      <c r="T25" s="42"/>
      <c r="U25" s="16">
        <f t="shared" si="7"/>
        <v>27.828099173553721</v>
      </c>
      <c r="V25" s="41">
        <f t="shared" si="8"/>
        <v>0.16666666666666663</v>
      </c>
      <c r="W25" s="17">
        <f t="shared" si="9"/>
        <v>0.30083333333333329</v>
      </c>
      <c r="X25" s="41">
        <f t="shared" si="10"/>
        <v>0.19999999999999998</v>
      </c>
      <c r="Y25" s="43">
        <f t="shared" si="11"/>
        <v>4.6380165289256201</v>
      </c>
      <c r="Z25" s="43">
        <f t="shared" si="12"/>
        <v>23.190082644628102</v>
      </c>
      <c r="AA25" s="44" t="str">
        <f t="shared" si="13"/>
        <v>OK</v>
      </c>
    </row>
    <row r="26" spans="1:27" ht="15" customHeight="1" x14ac:dyDescent="0.25">
      <c r="A26" s="12" t="s">
        <v>51</v>
      </c>
      <c r="B26" s="40">
        <v>10.66</v>
      </c>
      <c r="C26" s="12" t="s">
        <v>52</v>
      </c>
      <c r="D26" s="40">
        <v>27.9</v>
      </c>
      <c r="E26" s="13">
        <f>D26*G26</f>
        <v>3.2084999999999999</v>
      </c>
      <c r="F26" s="14"/>
      <c r="G26" s="15">
        <v>0.115</v>
      </c>
      <c r="H26" s="40">
        <v>6.75</v>
      </c>
      <c r="I26" s="40">
        <v>0</v>
      </c>
      <c r="J26" s="13">
        <f t="shared" si="0"/>
        <v>17.941499999999998</v>
      </c>
      <c r="K26" s="13"/>
      <c r="L26" s="15">
        <f t="shared" si="1"/>
        <v>0.08</v>
      </c>
      <c r="M26" s="13">
        <f t="shared" si="2"/>
        <v>2.2319999999999998</v>
      </c>
      <c r="N26" s="13">
        <f t="shared" si="3"/>
        <v>5.0494999999999983</v>
      </c>
      <c r="O26" s="15">
        <f t="shared" si="4"/>
        <v>0.18098566308243721</v>
      </c>
      <c r="P26" s="16">
        <f t="shared" si="5"/>
        <v>28.776859504132233</v>
      </c>
      <c r="Q26" s="41">
        <f t="shared" si="6"/>
        <v>0.2</v>
      </c>
      <c r="T26" s="42"/>
      <c r="U26" s="16">
        <f t="shared" si="7"/>
        <v>34.532231404958679</v>
      </c>
      <c r="V26" s="41">
        <f t="shared" si="8"/>
        <v>0.16666666666666663</v>
      </c>
      <c r="W26" s="17">
        <f t="shared" si="9"/>
        <v>0.30083333333333334</v>
      </c>
      <c r="X26" s="41">
        <f t="shared" si="10"/>
        <v>0.2</v>
      </c>
      <c r="Y26" s="43">
        <f t="shared" si="11"/>
        <v>5.7553719008264466</v>
      </c>
      <c r="Z26" s="43">
        <f t="shared" si="12"/>
        <v>28.776859504132233</v>
      </c>
      <c r="AA26" s="44" t="str">
        <f t="shared" si="13"/>
        <v>OK</v>
      </c>
    </row>
    <row r="27" spans="1:27" ht="15" customHeight="1" x14ac:dyDescent="0.25">
      <c r="A27" s="12" t="s">
        <v>49</v>
      </c>
      <c r="B27" s="40">
        <v>5.48</v>
      </c>
      <c r="C27" s="12" t="s">
        <v>53</v>
      </c>
      <c r="D27" s="40">
        <v>17.899999999999999</v>
      </c>
      <c r="E27" s="13">
        <f>D27*G27</f>
        <v>2.0585</v>
      </c>
      <c r="F27" s="14"/>
      <c r="G27" s="15">
        <v>0.115</v>
      </c>
      <c r="H27" s="40">
        <v>8.5500000000000007</v>
      </c>
      <c r="I27" s="40">
        <v>0</v>
      </c>
      <c r="J27" s="13">
        <f t="shared" si="0"/>
        <v>7.2914999999999974</v>
      </c>
      <c r="K27" s="13"/>
      <c r="L27" s="15">
        <f t="shared" si="1"/>
        <v>0.08</v>
      </c>
      <c r="M27" s="13">
        <f t="shared" si="2"/>
        <v>1.4319999999999999</v>
      </c>
      <c r="N27" s="13">
        <f t="shared" si="3"/>
        <v>0.37949999999999706</v>
      </c>
      <c r="O27" s="15">
        <f t="shared" si="4"/>
        <v>2.1201117318435592E-2</v>
      </c>
      <c r="P27" s="16">
        <f t="shared" si="5"/>
        <v>23.190082644628102</v>
      </c>
      <c r="Q27" s="41">
        <f t="shared" si="6"/>
        <v>0.19999999999999998</v>
      </c>
      <c r="T27" s="42"/>
      <c r="U27" s="16">
        <f t="shared" si="7"/>
        <v>27.828099173553721</v>
      </c>
      <c r="V27" s="41">
        <f t="shared" si="8"/>
        <v>0.16666666666666663</v>
      </c>
      <c r="W27" s="17">
        <f t="shared" si="9"/>
        <v>0.30083333333333329</v>
      </c>
      <c r="X27" s="41">
        <f t="shared" si="10"/>
        <v>0.19999999999999998</v>
      </c>
      <c r="Y27" s="43">
        <f t="shared" si="11"/>
        <v>4.6380165289256201</v>
      </c>
      <c r="Z27" s="43">
        <f t="shared" si="12"/>
        <v>23.190082644628102</v>
      </c>
      <c r="AA27" s="44" t="str">
        <f t="shared" si="13"/>
        <v>OK</v>
      </c>
    </row>
    <row r="28" spans="1:27" ht="15" customHeight="1" x14ac:dyDescent="0.25">
      <c r="A28" s="12" t="s">
        <v>54</v>
      </c>
      <c r="B28" s="40">
        <v>25.1</v>
      </c>
      <c r="C28" s="12" t="s">
        <v>55</v>
      </c>
      <c r="D28" s="40">
        <v>68.900000000000006</v>
      </c>
      <c r="E28" s="14"/>
      <c r="F28" s="13">
        <f>D28*G28</f>
        <v>11.368500000000001</v>
      </c>
      <c r="G28" s="15">
        <v>0.16500000000000001</v>
      </c>
      <c r="H28" s="40">
        <v>7.95</v>
      </c>
      <c r="I28" s="40">
        <v>0</v>
      </c>
      <c r="J28" s="13">
        <f t="shared" si="0"/>
        <v>49.581500000000005</v>
      </c>
      <c r="K28" s="13"/>
      <c r="L28" s="15">
        <f t="shared" si="1"/>
        <v>0.08</v>
      </c>
      <c r="M28" s="13">
        <f t="shared" si="2"/>
        <v>5.5120000000000005</v>
      </c>
      <c r="N28" s="13">
        <f t="shared" si="3"/>
        <v>18.969500000000004</v>
      </c>
      <c r="O28" s="15">
        <f t="shared" si="4"/>
        <v>0.27531930333817128</v>
      </c>
      <c r="P28" s="16">
        <f t="shared" si="5"/>
        <v>59.54954954954956</v>
      </c>
      <c r="Q28" s="41">
        <f t="shared" si="6"/>
        <v>0.2</v>
      </c>
      <c r="T28" s="42"/>
      <c r="U28" s="16">
        <f t="shared" si="7"/>
        <v>71.459459459459467</v>
      </c>
      <c r="V28" s="41">
        <f t="shared" si="8"/>
        <v>0.16666666666666663</v>
      </c>
      <c r="W28" s="17">
        <f t="shared" si="9"/>
        <v>0.29249999999999998</v>
      </c>
      <c r="X28" s="41">
        <f t="shared" si="10"/>
        <v>0.2</v>
      </c>
      <c r="Y28" s="43">
        <f t="shared" si="11"/>
        <v>11.909909909909913</v>
      </c>
      <c r="Z28" s="43">
        <f t="shared" si="12"/>
        <v>59.54954954954956</v>
      </c>
      <c r="AA28" s="44" t="str">
        <f t="shared" si="13"/>
        <v>OK</v>
      </c>
    </row>
    <row r="29" spans="1:27" ht="15" customHeight="1" x14ac:dyDescent="0.25">
      <c r="A29" s="12" t="s">
        <v>54</v>
      </c>
      <c r="B29" s="40">
        <v>25.1</v>
      </c>
      <c r="C29" s="12" t="s">
        <v>56</v>
      </c>
      <c r="D29" s="40">
        <v>63.9</v>
      </c>
      <c r="E29" s="13">
        <f>D29*G29</f>
        <v>7.3485000000000005</v>
      </c>
      <c r="F29" s="14"/>
      <c r="G29" s="15">
        <v>0.115</v>
      </c>
      <c r="H29" s="40">
        <v>7.95</v>
      </c>
      <c r="I29" s="40">
        <v>0</v>
      </c>
      <c r="J29" s="13">
        <f t="shared" si="0"/>
        <v>48.601499999999994</v>
      </c>
      <c r="K29" s="13"/>
      <c r="L29" s="15">
        <f t="shared" si="1"/>
        <v>0.08</v>
      </c>
      <c r="M29" s="13">
        <f t="shared" si="2"/>
        <v>5.1120000000000001</v>
      </c>
      <c r="N29" s="13">
        <f t="shared" si="3"/>
        <v>18.389499999999991</v>
      </c>
      <c r="O29" s="15">
        <f t="shared" si="4"/>
        <v>0.28778560250391222</v>
      </c>
      <c r="P29" s="16">
        <f t="shared" si="5"/>
        <v>54.628099173553728</v>
      </c>
      <c r="Q29" s="41">
        <f t="shared" si="6"/>
        <v>0.19999999999999998</v>
      </c>
      <c r="T29" s="42"/>
      <c r="U29" s="16">
        <f t="shared" si="7"/>
        <v>65.553719008264466</v>
      </c>
      <c r="V29" s="41">
        <f t="shared" si="8"/>
        <v>0.16666666666666652</v>
      </c>
      <c r="W29" s="17">
        <f t="shared" si="9"/>
        <v>0.30083333333333334</v>
      </c>
      <c r="X29" s="41">
        <f t="shared" si="10"/>
        <v>0.19999999999999998</v>
      </c>
      <c r="Y29" s="43">
        <f t="shared" si="11"/>
        <v>10.925619834710744</v>
      </c>
      <c r="Z29" s="43">
        <f t="shared" si="12"/>
        <v>54.628099173553728</v>
      </c>
      <c r="AA29" s="44" t="str">
        <f t="shared" si="13"/>
        <v>OK</v>
      </c>
    </row>
    <row r="30" spans="1:27" ht="15" customHeight="1" x14ac:dyDescent="0.25">
      <c r="A30" s="12" t="s">
        <v>57</v>
      </c>
      <c r="B30" s="40">
        <v>32.799999999999997</v>
      </c>
      <c r="C30" s="12" t="s">
        <v>58</v>
      </c>
      <c r="D30" s="40">
        <v>99.9</v>
      </c>
      <c r="E30" s="13">
        <f>D30*G30</f>
        <v>11.488500000000002</v>
      </c>
      <c r="F30" s="14"/>
      <c r="G30" s="15">
        <v>0.115</v>
      </c>
      <c r="H30" s="40">
        <v>0</v>
      </c>
      <c r="I30" s="40">
        <v>13.85</v>
      </c>
      <c r="J30" s="13">
        <f t="shared" si="0"/>
        <v>74.561500000000009</v>
      </c>
      <c r="K30" s="13"/>
      <c r="L30" s="15">
        <f t="shared" si="1"/>
        <v>0.08</v>
      </c>
      <c r="M30" s="13">
        <f t="shared" si="2"/>
        <v>7.9920000000000009</v>
      </c>
      <c r="N30" s="13">
        <f t="shared" si="3"/>
        <v>33.769500000000008</v>
      </c>
      <c r="O30" s="15">
        <f t="shared" si="4"/>
        <v>0.33803303303303311</v>
      </c>
      <c r="P30" s="16">
        <f t="shared" si="5"/>
        <v>54.214876033057848</v>
      </c>
      <c r="Q30" s="41">
        <f t="shared" si="6"/>
        <v>0.2</v>
      </c>
      <c r="T30" s="42"/>
      <c r="U30" s="16">
        <f t="shared" si="7"/>
        <v>65.057851239669418</v>
      </c>
      <c r="V30" s="41">
        <f t="shared" si="8"/>
        <v>0.16666666666666663</v>
      </c>
      <c r="W30" s="17">
        <f t="shared" si="9"/>
        <v>0.30083333333333334</v>
      </c>
      <c r="X30" s="41">
        <f t="shared" si="10"/>
        <v>0.2</v>
      </c>
      <c r="Y30" s="43">
        <f t="shared" si="11"/>
        <v>10.84297520661157</v>
      </c>
      <c r="Z30" s="43">
        <f t="shared" si="12"/>
        <v>54.214876033057848</v>
      </c>
      <c r="AA30" s="44" t="str">
        <f t="shared" si="13"/>
        <v>OK</v>
      </c>
    </row>
    <row r="31" spans="1:27" ht="15" customHeight="1" x14ac:dyDescent="0.25">
      <c r="A31" s="12" t="s">
        <v>59</v>
      </c>
      <c r="B31" s="40">
        <v>23.9</v>
      </c>
      <c r="C31" s="12" t="s">
        <v>60</v>
      </c>
      <c r="D31" s="40">
        <v>49.9</v>
      </c>
      <c r="E31" s="13">
        <f>D31*G31</f>
        <v>5.7385000000000002</v>
      </c>
      <c r="F31" s="14"/>
      <c r="G31" s="15">
        <v>0.115</v>
      </c>
      <c r="H31" s="40">
        <v>7.95</v>
      </c>
      <c r="I31" s="40">
        <v>0</v>
      </c>
      <c r="J31" s="13">
        <f t="shared" si="0"/>
        <v>36.211499999999994</v>
      </c>
      <c r="K31" s="13"/>
      <c r="L31" s="15">
        <f t="shared" si="1"/>
        <v>0.08</v>
      </c>
      <c r="M31" s="13">
        <f t="shared" si="2"/>
        <v>3.992</v>
      </c>
      <c r="N31" s="13">
        <f t="shared" si="3"/>
        <v>8.3194999999999943</v>
      </c>
      <c r="O31" s="15">
        <f t="shared" si="4"/>
        <v>0.16672344689378746</v>
      </c>
      <c r="P31" s="16">
        <f t="shared" si="5"/>
        <v>52.644628099173552</v>
      </c>
      <c r="Q31" s="41">
        <f t="shared" si="6"/>
        <v>0.19999999999999998</v>
      </c>
      <c r="T31" s="42"/>
      <c r="U31" s="16">
        <f t="shared" si="7"/>
        <v>63.173553719008261</v>
      </c>
      <c r="V31" s="41">
        <f t="shared" si="8"/>
        <v>0.16666666666666663</v>
      </c>
      <c r="W31" s="17">
        <f t="shared" si="9"/>
        <v>0.30083333333333334</v>
      </c>
      <c r="X31" s="41">
        <f t="shared" si="10"/>
        <v>0.19999999999999998</v>
      </c>
      <c r="Y31" s="43">
        <f t="shared" si="11"/>
        <v>10.528925619834709</v>
      </c>
      <c r="Z31" s="43">
        <f t="shared" si="12"/>
        <v>52.644628099173552</v>
      </c>
      <c r="AA31" s="44" t="str">
        <f t="shared" si="13"/>
        <v>OK</v>
      </c>
    </row>
    <row r="32" spans="1:27" ht="15" customHeight="1" x14ac:dyDescent="0.25">
      <c r="A32" s="12" t="s">
        <v>59</v>
      </c>
      <c r="B32" s="40">
        <v>23.9</v>
      </c>
      <c r="C32" s="12" t="s">
        <v>61</v>
      </c>
      <c r="D32" s="40">
        <v>49.9</v>
      </c>
      <c r="E32" s="14"/>
      <c r="F32" s="13">
        <f>D32*G32</f>
        <v>8.2334999999999994</v>
      </c>
      <c r="G32" s="15">
        <v>0.16500000000000001</v>
      </c>
      <c r="H32" s="40">
        <v>7.95</v>
      </c>
      <c r="I32" s="40">
        <v>0</v>
      </c>
      <c r="J32" s="13">
        <f t="shared" si="0"/>
        <v>33.716499999999996</v>
      </c>
      <c r="K32" s="13"/>
      <c r="L32" s="15">
        <f t="shared" si="1"/>
        <v>0.08</v>
      </c>
      <c r="M32" s="13">
        <f t="shared" si="2"/>
        <v>3.992</v>
      </c>
      <c r="N32" s="13">
        <f t="shared" si="3"/>
        <v>5.8244999999999978</v>
      </c>
      <c r="O32" s="15">
        <f t="shared" si="4"/>
        <v>0.11672344689378754</v>
      </c>
      <c r="P32" s="16">
        <f t="shared" si="5"/>
        <v>57.387387387387392</v>
      </c>
      <c r="Q32" s="41">
        <f t="shared" si="6"/>
        <v>0.20000000000000012</v>
      </c>
      <c r="T32" s="42"/>
      <c r="U32" s="16">
        <f t="shared" si="7"/>
        <v>68.86486486486487</v>
      </c>
      <c r="V32" s="41">
        <f t="shared" si="8"/>
        <v>0.16666666666666663</v>
      </c>
      <c r="W32" s="17">
        <f t="shared" si="9"/>
        <v>0.29250000000000004</v>
      </c>
      <c r="X32" s="41">
        <f t="shared" si="10"/>
        <v>0.20000000000000012</v>
      </c>
      <c r="Y32" s="43">
        <f t="shared" si="11"/>
        <v>11.477477477477485</v>
      </c>
      <c r="Z32" s="43">
        <f t="shared" si="12"/>
        <v>57.387387387387392</v>
      </c>
      <c r="AA32" s="44" t="str">
        <f t="shared" si="13"/>
        <v>OK</v>
      </c>
    </row>
    <row r="33" spans="1:27" ht="15" customHeight="1" x14ac:dyDescent="0.25">
      <c r="A33" s="12" t="s">
        <v>57</v>
      </c>
      <c r="B33" s="40">
        <v>32.799999999999997</v>
      </c>
      <c r="C33" s="12" t="s">
        <v>62</v>
      </c>
      <c r="D33" s="40">
        <v>109.9</v>
      </c>
      <c r="E33" s="14"/>
      <c r="F33" s="13">
        <f>D33*G33</f>
        <v>18.133500000000002</v>
      </c>
      <c r="G33" s="15">
        <v>0.16500000000000001</v>
      </c>
      <c r="H33" s="40">
        <v>0</v>
      </c>
      <c r="I33" s="40">
        <v>16.149999999999999</v>
      </c>
      <c r="J33" s="13">
        <f t="shared" si="0"/>
        <v>75.616500000000002</v>
      </c>
      <c r="K33" s="13"/>
      <c r="L33" s="15">
        <f t="shared" si="1"/>
        <v>0.08</v>
      </c>
      <c r="M33" s="13">
        <f t="shared" si="2"/>
        <v>8.7919999999999998</v>
      </c>
      <c r="N33" s="13">
        <f t="shared" si="3"/>
        <v>34.024500000000003</v>
      </c>
      <c r="O33" s="15">
        <f t="shared" si="4"/>
        <v>0.30959508644222022</v>
      </c>
      <c r="P33" s="16">
        <f t="shared" si="5"/>
        <v>59.099099099099099</v>
      </c>
      <c r="Q33" s="41">
        <f t="shared" si="6"/>
        <v>0.2</v>
      </c>
      <c r="T33" s="42"/>
      <c r="U33" s="16">
        <f t="shared" si="7"/>
        <v>70.918918918918919</v>
      </c>
      <c r="V33" s="41">
        <f t="shared" si="8"/>
        <v>0.16666666666666663</v>
      </c>
      <c r="W33" s="17">
        <f t="shared" si="9"/>
        <v>0.29249999999999998</v>
      </c>
      <c r="X33" s="41">
        <f t="shared" si="10"/>
        <v>0.2</v>
      </c>
      <c r="Y33" s="43">
        <f t="shared" si="11"/>
        <v>11.81981981981982</v>
      </c>
      <c r="Z33" s="43">
        <f t="shared" si="12"/>
        <v>59.099099099099099</v>
      </c>
      <c r="AA33" s="44" t="str">
        <f t="shared" si="13"/>
        <v>OK</v>
      </c>
    </row>
    <row r="34" spans="1:27" ht="15" customHeight="1" x14ac:dyDescent="0.25">
      <c r="A34" s="12" t="s">
        <v>63</v>
      </c>
      <c r="B34" s="40">
        <v>67</v>
      </c>
      <c r="C34" s="12" t="s">
        <v>64</v>
      </c>
      <c r="D34" s="40">
        <v>151.63999999999999</v>
      </c>
      <c r="E34" s="13">
        <f>D34*G34</f>
        <v>15.922199999999998</v>
      </c>
      <c r="F34" s="14"/>
      <c r="G34" s="15">
        <v>0.105</v>
      </c>
      <c r="H34" s="40">
        <v>0</v>
      </c>
      <c r="I34" s="40">
        <v>21.65</v>
      </c>
      <c r="J34" s="13">
        <f t="shared" si="0"/>
        <v>114.06779999999998</v>
      </c>
      <c r="K34" s="13"/>
      <c r="L34" s="15">
        <f t="shared" si="1"/>
        <v>0.08</v>
      </c>
      <c r="M34" s="13">
        <f t="shared" si="2"/>
        <v>12.1312</v>
      </c>
      <c r="N34" s="13">
        <f t="shared" si="3"/>
        <v>34.936599999999977</v>
      </c>
      <c r="O34" s="15">
        <f t="shared" si="4"/>
        <v>0.23039171722500645</v>
      </c>
      <c r="P34" s="16">
        <f t="shared" si="5"/>
        <v>144.14634146341464</v>
      </c>
      <c r="Q34" s="41">
        <f t="shared" si="6"/>
        <v>0.20000000000000007</v>
      </c>
      <c r="T34" s="42"/>
      <c r="U34" s="16">
        <f t="shared" si="7"/>
        <v>172.97560975609755</v>
      </c>
      <c r="V34" s="41">
        <f t="shared" si="8"/>
        <v>0.16666666666666663</v>
      </c>
      <c r="W34" s="17">
        <f t="shared" si="9"/>
        <v>0.30249999999999994</v>
      </c>
      <c r="X34" s="41">
        <f t="shared" si="10"/>
        <v>0.20000000000000007</v>
      </c>
      <c r="Y34" s="43">
        <f t="shared" si="11"/>
        <v>28.82926829268294</v>
      </c>
      <c r="Z34" s="43">
        <f t="shared" si="12"/>
        <v>144.14634146341464</v>
      </c>
      <c r="AA34" s="44" t="str">
        <f t="shared" si="13"/>
        <v>OK</v>
      </c>
    </row>
    <row r="35" spans="1:27" ht="15" customHeight="1" x14ac:dyDescent="0.25">
      <c r="A35" s="12" t="s">
        <v>63</v>
      </c>
      <c r="B35" s="40">
        <v>67</v>
      </c>
      <c r="C35" s="12" t="s">
        <v>65</v>
      </c>
      <c r="D35" s="40">
        <v>158.47999999999999</v>
      </c>
      <c r="E35" s="14"/>
      <c r="F35" s="13">
        <f>D35*G35</f>
        <v>21.3948</v>
      </c>
      <c r="G35" s="15">
        <v>0.13500000000000001</v>
      </c>
      <c r="H35" s="40">
        <v>0</v>
      </c>
      <c r="I35" s="40">
        <v>21.65</v>
      </c>
      <c r="J35" s="13">
        <f t="shared" si="0"/>
        <v>115.43519999999998</v>
      </c>
      <c r="K35" s="13"/>
      <c r="L35" s="15">
        <f t="shared" si="1"/>
        <v>0.08</v>
      </c>
      <c r="M35" s="13">
        <f t="shared" si="2"/>
        <v>12.6784</v>
      </c>
      <c r="N35" s="13">
        <f t="shared" si="3"/>
        <v>35.756799999999984</v>
      </c>
      <c r="O35" s="15">
        <f t="shared" si="4"/>
        <v>0.22562342251388179</v>
      </c>
      <c r="P35" s="16">
        <f t="shared" si="5"/>
        <v>151.53846153846155</v>
      </c>
      <c r="Q35" s="41">
        <f t="shared" si="6"/>
        <v>0.20000000000000007</v>
      </c>
      <c r="T35" s="42"/>
      <c r="U35" s="16">
        <f t="shared" si="7"/>
        <v>181.84615384615384</v>
      </c>
      <c r="V35" s="41">
        <f t="shared" si="8"/>
        <v>0.16666666666666663</v>
      </c>
      <c r="W35" s="17">
        <f t="shared" si="9"/>
        <v>0.29749999999999993</v>
      </c>
      <c r="X35" s="41">
        <f t="shared" si="10"/>
        <v>0.20000000000000007</v>
      </c>
      <c r="Y35" s="43">
        <f t="shared" si="11"/>
        <v>30.307692307692321</v>
      </c>
      <c r="Z35" s="43">
        <f t="shared" si="12"/>
        <v>151.53846153846155</v>
      </c>
      <c r="AA35" s="44" t="str">
        <f t="shared" si="13"/>
        <v>OK</v>
      </c>
    </row>
    <row r="36" spans="1:27" ht="15" customHeight="1" x14ac:dyDescent="0.25">
      <c r="A36" s="12" t="s">
        <v>66</v>
      </c>
      <c r="B36" s="40">
        <v>54.2</v>
      </c>
      <c r="C36" s="12" t="s">
        <v>67</v>
      </c>
      <c r="D36" s="40">
        <v>142.9</v>
      </c>
      <c r="E36" s="14"/>
      <c r="F36" s="13">
        <f>D36*G36</f>
        <v>23.578500000000002</v>
      </c>
      <c r="G36" s="15">
        <v>0.16500000000000001</v>
      </c>
      <c r="H36" s="40">
        <v>0</v>
      </c>
      <c r="I36" s="40">
        <v>21.05</v>
      </c>
      <c r="J36" s="13">
        <f t="shared" si="0"/>
        <v>98.271500000000003</v>
      </c>
      <c r="K36" s="13"/>
      <c r="L36" s="15">
        <f t="shared" si="1"/>
        <v>0.08</v>
      </c>
      <c r="M36" s="13">
        <f t="shared" si="2"/>
        <v>11.432</v>
      </c>
      <c r="N36" s="13">
        <f t="shared" si="3"/>
        <v>32.639499999999998</v>
      </c>
      <c r="O36" s="15">
        <f t="shared" si="4"/>
        <v>0.22840797760671797</v>
      </c>
      <c r="P36" s="16">
        <f t="shared" si="5"/>
        <v>135.58558558558559</v>
      </c>
      <c r="Q36" s="41">
        <f t="shared" si="6"/>
        <v>0.2</v>
      </c>
      <c r="T36" s="42"/>
      <c r="U36" s="16">
        <f t="shared" si="7"/>
        <v>162.70270270270271</v>
      </c>
      <c r="V36" s="41">
        <f t="shared" si="8"/>
        <v>0.16666666666666663</v>
      </c>
      <c r="W36" s="17">
        <f t="shared" si="9"/>
        <v>0.29250000000000004</v>
      </c>
      <c r="X36" s="41">
        <f t="shared" si="10"/>
        <v>0.2</v>
      </c>
      <c r="Y36" s="43">
        <f t="shared" si="11"/>
        <v>27.117117117117118</v>
      </c>
      <c r="Z36" s="43">
        <f t="shared" si="12"/>
        <v>135.58558558558559</v>
      </c>
      <c r="AA36" s="44" t="str">
        <f t="shared" si="13"/>
        <v>OK</v>
      </c>
    </row>
    <row r="37" spans="1:27" ht="15" customHeight="1" x14ac:dyDescent="0.25">
      <c r="A37" s="12" t="s">
        <v>66</v>
      </c>
      <c r="B37" s="40">
        <v>54.2</v>
      </c>
      <c r="C37" s="12" t="s">
        <v>68</v>
      </c>
      <c r="D37" s="40">
        <v>125.21</v>
      </c>
      <c r="E37" s="13">
        <f>D37*G37</f>
        <v>14.399150000000001</v>
      </c>
      <c r="F37" s="14"/>
      <c r="G37" s="15">
        <v>0.115</v>
      </c>
      <c r="H37" s="40">
        <v>0</v>
      </c>
      <c r="I37" s="40">
        <v>21.05</v>
      </c>
      <c r="J37" s="13">
        <f t="shared" si="0"/>
        <v>89.760849999999991</v>
      </c>
      <c r="K37" s="13"/>
      <c r="L37" s="15">
        <f t="shared" si="1"/>
        <v>0.08</v>
      </c>
      <c r="M37" s="13">
        <f t="shared" si="2"/>
        <v>10.0168</v>
      </c>
      <c r="N37" s="13">
        <f t="shared" si="3"/>
        <v>25.544049999999988</v>
      </c>
      <c r="O37" s="15">
        <f t="shared" si="4"/>
        <v>0.20400966376487492</v>
      </c>
      <c r="P37" s="16">
        <f t="shared" si="5"/>
        <v>124.3801652892562</v>
      </c>
      <c r="Q37" s="41">
        <f t="shared" si="6"/>
        <v>0.19999999999999993</v>
      </c>
      <c r="T37" s="42"/>
      <c r="U37" s="16">
        <f t="shared" si="7"/>
        <v>149.25619834710744</v>
      </c>
      <c r="V37" s="41">
        <f t="shared" si="8"/>
        <v>0.16666666666666674</v>
      </c>
      <c r="W37" s="17">
        <f t="shared" si="9"/>
        <v>0.3008333333333334</v>
      </c>
      <c r="X37" s="41">
        <f t="shared" si="10"/>
        <v>0.19999999999999993</v>
      </c>
      <c r="Y37" s="43">
        <f t="shared" si="11"/>
        <v>24.876033057851231</v>
      </c>
      <c r="Z37" s="43">
        <f t="shared" si="12"/>
        <v>124.3801652892562</v>
      </c>
      <c r="AA37" s="44" t="str">
        <f t="shared" si="13"/>
        <v>OK</v>
      </c>
    </row>
    <row r="38" spans="1:27" ht="15" customHeight="1" x14ac:dyDescent="0.25">
      <c r="A38" s="12" t="s">
        <v>46</v>
      </c>
      <c r="B38" s="40">
        <v>162</v>
      </c>
      <c r="C38" s="12" t="s">
        <v>69</v>
      </c>
      <c r="D38" s="40">
        <v>269.89999999999998</v>
      </c>
      <c r="E38" s="13">
        <f>D38*G38</f>
        <v>31.038499999999999</v>
      </c>
      <c r="F38" s="14"/>
      <c r="G38" s="15">
        <v>0.115</v>
      </c>
      <c r="H38" s="40">
        <v>0</v>
      </c>
      <c r="I38" s="40">
        <v>24.65</v>
      </c>
      <c r="J38" s="13">
        <f t="shared" si="0"/>
        <v>214.21149999999997</v>
      </c>
      <c r="K38" s="13"/>
      <c r="L38" s="15">
        <f t="shared" si="1"/>
        <v>0.08</v>
      </c>
      <c r="M38" s="13">
        <f t="shared" si="2"/>
        <v>21.591999999999999</v>
      </c>
      <c r="N38" s="13">
        <f t="shared" si="3"/>
        <v>30.619499999999974</v>
      </c>
      <c r="O38" s="15">
        <f t="shared" si="4"/>
        <v>0.11344757317525</v>
      </c>
      <c r="P38" s="16">
        <f t="shared" si="5"/>
        <v>308.51239669421489</v>
      </c>
      <c r="Q38" s="41">
        <f t="shared" si="6"/>
        <v>0.1999999999999999</v>
      </c>
      <c r="T38" s="42"/>
      <c r="U38" s="16">
        <f t="shared" si="7"/>
        <v>370.21487603305786</v>
      </c>
      <c r="V38" s="41">
        <f t="shared" si="8"/>
        <v>0.16666666666666663</v>
      </c>
      <c r="W38" s="17">
        <f t="shared" si="9"/>
        <v>0.30083333333333345</v>
      </c>
      <c r="X38" s="41">
        <f t="shared" si="10"/>
        <v>0.1999999999999999</v>
      </c>
      <c r="Y38" s="43">
        <f t="shared" si="11"/>
        <v>61.702479338842949</v>
      </c>
      <c r="Z38" s="43">
        <f t="shared" si="12"/>
        <v>308.51239669421489</v>
      </c>
      <c r="AA38" s="44" t="str">
        <f t="shared" si="13"/>
        <v>OK</v>
      </c>
    </row>
    <row r="39" spans="1:27" ht="15" customHeight="1" x14ac:dyDescent="0.25">
      <c r="A39" s="12" t="s">
        <v>46</v>
      </c>
      <c r="B39" s="40">
        <v>162</v>
      </c>
      <c r="C39" s="12" t="s">
        <v>70</v>
      </c>
      <c r="D39" s="40">
        <v>285.56</v>
      </c>
      <c r="E39" s="14"/>
      <c r="F39" s="13">
        <f>D39*G39</f>
        <v>41.406199999999998</v>
      </c>
      <c r="G39" s="15">
        <v>0.14499999999999999</v>
      </c>
      <c r="H39" s="40">
        <v>0</v>
      </c>
      <c r="I39" s="40">
        <v>24.65</v>
      </c>
      <c r="J39" s="13">
        <f t="shared" si="0"/>
        <v>219.50379999999998</v>
      </c>
      <c r="K39" s="13"/>
      <c r="L39" s="15">
        <f t="shared" si="1"/>
        <v>0.08</v>
      </c>
      <c r="M39" s="13">
        <f t="shared" si="2"/>
        <v>22.844799999999999</v>
      </c>
      <c r="N39" s="13">
        <f t="shared" si="3"/>
        <v>34.658999999999985</v>
      </c>
      <c r="O39" s="15">
        <f t="shared" si="4"/>
        <v>0.12137204090208707</v>
      </c>
      <c r="P39" s="16">
        <f t="shared" si="5"/>
        <v>324.60869565217394</v>
      </c>
      <c r="Q39" s="41">
        <f t="shared" si="6"/>
        <v>0.2</v>
      </c>
      <c r="T39" s="42"/>
      <c r="U39" s="16">
        <f t="shared" si="7"/>
        <v>389.53043478260872</v>
      </c>
      <c r="V39" s="41">
        <f t="shared" si="8"/>
        <v>0.16666666666666663</v>
      </c>
      <c r="W39" s="17">
        <f t="shared" si="9"/>
        <v>0.29583333333333356</v>
      </c>
      <c r="X39" s="41">
        <f t="shared" si="10"/>
        <v>0.2</v>
      </c>
      <c r="Y39" s="43">
        <f t="shared" si="11"/>
        <v>64.921739130434787</v>
      </c>
      <c r="Z39" s="43">
        <f t="shared" si="12"/>
        <v>324.60869565217394</v>
      </c>
      <c r="AA39" s="44" t="str">
        <f t="shared" si="13"/>
        <v>OK</v>
      </c>
    </row>
    <row r="40" spans="1:27" ht="15" customHeight="1" x14ac:dyDescent="0.25">
      <c r="A40" s="12" t="s">
        <v>71</v>
      </c>
      <c r="B40" s="45" t="s">
        <v>32</v>
      </c>
      <c r="C40" s="12" t="s">
        <v>72</v>
      </c>
      <c r="D40" s="40">
        <v>184.9</v>
      </c>
      <c r="E40" s="13">
        <f>D40*G40</f>
        <v>21.263500000000001</v>
      </c>
      <c r="F40" s="14"/>
      <c r="G40" s="15">
        <v>0.115</v>
      </c>
      <c r="H40" s="40">
        <v>0</v>
      </c>
      <c r="I40" s="40">
        <v>20.75</v>
      </c>
      <c r="J40" s="13">
        <f t="shared" si="0"/>
        <v>142.88650000000001</v>
      </c>
      <c r="K40" s="14"/>
      <c r="L40" s="15">
        <f t="shared" si="1"/>
        <v>0.08</v>
      </c>
      <c r="M40" s="13">
        <f t="shared" si="2"/>
        <v>14.792000000000002</v>
      </c>
      <c r="N40" s="13">
        <f t="shared" si="3"/>
        <v>128.09450000000001</v>
      </c>
      <c r="O40" s="15">
        <f t="shared" si="4"/>
        <v>0.69277717685235263</v>
      </c>
      <c r="P40" s="16" t="str">
        <f t="shared" si="5"/>
        <v/>
      </c>
      <c r="Q40" s="41" t="str">
        <f t="shared" si="6"/>
        <v/>
      </c>
      <c r="T40" s="42"/>
      <c r="U40" s="16" t="str">
        <f t="shared" si="7"/>
        <v/>
      </c>
      <c r="V40" s="41" t="str">
        <f t="shared" si="8"/>
        <v/>
      </c>
      <c r="W40" s="17" t="str">
        <f t="shared" si="9"/>
        <v/>
      </c>
      <c r="X40" s="41" t="str">
        <f t="shared" si="10"/>
        <v/>
      </c>
      <c r="Y40" s="43" t="str">
        <f t="shared" si="11"/>
        <v/>
      </c>
      <c r="Z40" s="43" t="str">
        <f t="shared" si="12"/>
        <v/>
      </c>
      <c r="AA40" s="44" t="str">
        <f t="shared" si="13"/>
        <v>Sem custo</v>
      </c>
    </row>
    <row r="41" spans="1:27" ht="15" customHeight="1" x14ac:dyDescent="0.25">
      <c r="A41" s="12" t="s">
        <v>73</v>
      </c>
      <c r="B41" s="45" t="s">
        <v>32</v>
      </c>
      <c r="C41" s="12" t="s">
        <v>74</v>
      </c>
      <c r="D41" s="40">
        <v>359.9</v>
      </c>
      <c r="E41" s="14"/>
      <c r="F41" s="13">
        <f>D41*G41</f>
        <v>48.586500000000001</v>
      </c>
      <c r="G41" s="15">
        <v>0.13500000000000001</v>
      </c>
      <c r="H41" s="40">
        <v>0</v>
      </c>
      <c r="I41" s="40">
        <v>28.35</v>
      </c>
      <c r="J41" s="13">
        <f t="shared" si="0"/>
        <v>282.96349999999995</v>
      </c>
      <c r="K41" s="14"/>
      <c r="L41" s="15">
        <f t="shared" si="1"/>
        <v>0.08</v>
      </c>
      <c r="M41" s="13">
        <f t="shared" si="2"/>
        <v>28.791999999999998</v>
      </c>
      <c r="N41" s="13">
        <f t="shared" si="3"/>
        <v>254.17149999999995</v>
      </c>
      <c r="O41" s="15">
        <f t="shared" si="4"/>
        <v>0.70622811892192272</v>
      </c>
      <c r="P41" s="16" t="str">
        <f t="shared" si="5"/>
        <v/>
      </c>
      <c r="Q41" s="41" t="str">
        <f t="shared" si="6"/>
        <v/>
      </c>
      <c r="T41" s="42"/>
      <c r="U41" s="16" t="str">
        <f t="shared" si="7"/>
        <v/>
      </c>
      <c r="V41" s="41" t="str">
        <f t="shared" si="8"/>
        <v/>
      </c>
      <c r="W41" s="17" t="str">
        <f t="shared" si="9"/>
        <v/>
      </c>
      <c r="X41" s="41" t="str">
        <f t="shared" si="10"/>
        <v/>
      </c>
      <c r="Y41" s="43" t="str">
        <f t="shared" si="11"/>
        <v/>
      </c>
      <c r="Z41" s="43" t="str">
        <f t="shared" si="12"/>
        <v/>
      </c>
      <c r="AA41" s="44" t="str">
        <f t="shared" si="13"/>
        <v>Sem custo</v>
      </c>
    </row>
    <row r="42" spans="1:27" ht="15" customHeight="1" x14ac:dyDescent="0.25">
      <c r="A42" s="12" t="s">
        <v>73</v>
      </c>
      <c r="B42" s="45" t="s">
        <v>32</v>
      </c>
      <c r="C42" s="12" t="s">
        <v>75</v>
      </c>
      <c r="D42" s="40">
        <v>359.9</v>
      </c>
      <c r="E42" s="14"/>
      <c r="F42" s="13">
        <f>D42*G42</f>
        <v>48.586500000000001</v>
      </c>
      <c r="G42" s="15">
        <v>0.13500000000000001</v>
      </c>
      <c r="H42" s="40">
        <v>0</v>
      </c>
      <c r="I42" s="40">
        <v>28.35</v>
      </c>
      <c r="J42" s="13">
        <f t="shared" si="0"/>
        <v>282.96349999999995</v>
      </c>
      <c r="K42" s="14"/>
      <c r="L42" s="15">
        <f t="shared" si="1"/>
        <v>0.08</v>
      </c>
      <c r="M42" s="13">
        <f t="shared" si="2"/>
        <v>28.791999999999998</v>
      </c>
      <c r="N42" s="13">
        <f t="shared" si="3"/>
        <v>254.17149999999995</v>
      </c>
      <c r="O42" s="15">
        <f t="shared" si="4"/>
        <v>0.70622811892192272</v>
      </c>
      <c r="P42" s="16" t="str">
        <f t="shared" si="5"/>
        <v/>
      </c>
      <c r="Q42" s="41" t="str">
        <f t="shared" si="6"/>
        <v/>
      </c>
      <c r="T42" s="42"/>
      <c r="U42" s="16" t="str">
        <f t="shared" si="7"/>
        <v/>
      </c>
      <c r="V42" s="41" t="str">
        <f t="shared" si="8"/>
        <v/>
      </c>
      <c r="W42" s="17" t="str">
        <f t="shared" si="9"/>
        <v/>
      </c>
      <c r="X42" s="41" t="str">
        <f t="shared" si="10"/>
        <v/>
      </c>
      <c r="Y42" s="43" t="str">
        <f t="shared" si="11"/>
        <v/>
      </c>
      <c r="Z42" s="43" t="str">
        <f t="shared" si="12"/>
        <v/>
      </c>
      <c r="AA42" s="44" t="str">
        <f t="shared" si="13"/>
        <v>Sem custo</v>
      </c>
    </row>
    <row r="43" spans="1:27" ht="15" customHeight="1" x14ac:dyDescent="0.25">
      <c r="A43" s="12" t="s">
        <v>71</v>
      </c>
      <c r="B43" s="45" t="s">
        <v>32</v>
      </c>
      <c r="C43" s="12" t="s">
        <v>76</v>
      </c>
      <c r="D43" s="40">
        <v>196.91</v>
      </c>
      <c r="E43" s="14"/>
      <c r="F43" s="13">
        <f>D43*G43</f>
        <v>28.551949999999998</v>
      </c>
      <c r="G43" s="15">
        <v>0.14499999999999999</v>
      </c>
      <c r="H43" s="40">
        <v>0</v>
      </c>
      <c r="I43" s="40">
        <v>20.75</v>
      </c>
      <c r="J43" s="13">
        <f t="shared" si="0"/>
        <v>147.60804999999999</v>
      </c>
      <c r="K43" s="14"/>
      <c r="L43" s="15">
        <f t="shared" si="1"/>
        <v>0.08</v>
      </c>
      <c r="M43" s="13">
        <f t="shared" si="2"/>
        <v>15.752800000000001</v>
      </c>
      <c r="N43" s="13">
        <f t="shared" si="3"/>
        <v>131.85524999999998</v>
      </c>
      <c r="O43" s="15">
        <f t="shared" si="4"/>
        <v>0.66962190848611036</v>
      </c>
      <c r="P43" s="16" t="str">
        <f t="shared" si="5"/>
        <v/>
      </c>
      <c r="Q43" s="41" t="str">
        <f t="shared" si="6"/>
        <v/>
      </c>
      <c r="T43" s="42"/>
      <c r="U43" s="16" t="str">
        <f t="shared" si="7"/>
        <v/>
      </c>
      <c r="V43" s="41" t="str">
        <f t="shared" si="8"/>
        <v/>
      </c>
      <c r="W43" s="17" t="str">
        <f t="shared" si="9"/>
        <v/>
      </c>
      <c r="X43" s="41" t="str">
        <f t="shared" si="10"/>
        <v/>
      </c>
      <c r="Y43" s="43" t="str">
        <f t="shared" si="11"/>
        <v/>
      </c>
      <c r="Z43" s="43" t="str">
        <f t="shared" si="12"/>
        <v/>
      </c>
      <c r="AA43" s="44" t="str">
        <f t="shared" si="13"/>
        <v>Sem custo</v>
      </c>
    </row>
    <row r="44" spans="1:27" ht="15" customHeight="1" x14ac:dyDescent="0.25">
      <c r="A44" s="12" t="s">
        <v>71</v>
      </c>
      <c r="B44" s="45" t="s">
        <v>32</v>
      </c>
      <c r="C44" s="12" t="s">
        <v>77</v>
      </c>
      <c r="D44" s="40">
        <v>184.9</v>
      </c>
      <c r="E44" s="13">
        <f>D44*G44</f>
        <v>21.263500000000001</v>
      </c>
      <c r="F44" s="14"/>
      <c r="G44" s="15">
        <v>0.115</v>
      </c>
      <c r="H44" s="40">
        <v>0</v>
      </c>
      <c r="I44" s="40">
        <v>20.75</v>
      </c>
      <c r="J44" s="13">
        <f t="shared" si="0"/>
        <v>142.88650000000001</v>
      </c>
      <c r="K44" s="14"/>
      <c r="L44" s="15">
        <f t="shared" si="1"/>
        <v>0.08</v>
      </c>
      <c r="M44" s="13">
        <f t="shared" si="2"/>
        <v>14.792000000000002</v>
      </c>
      <c r="N44" s="13">
        <f t="shared" si="3"/>
        <v>128.09450000000001</v>
      </c>
      <c r="O44" s="15">
        <f t="shared" si="4"/>
        <v>0.69277717685235263</v>
      </c>
      <c r="P44" s="16" t="str">
        <f t="shared" si="5"/>
        <v/>
      </c>
      <c r="Q44" s="41" t="str">
        <f t="shared" si="6"/>
        <v/>
      </c>
      <c r="T44" s="42"/>
      <c r="U44" s="16" t="str">
        <f t="shared" si="7"/>
        <v/>
      </c>
      <c r="V44" s="41" t="str">
        <f t="shared" si="8"/>
        <v/>
      </c>
      <c r="W44" s="17" t="str">
        <f t="shared" si="9"/>
        <v/>
      </c>
      <c r="X44" s="41" t="str">
        <f t="shared" si="10"/>
        <v/>
      </c>
      <c r="Y44" s="43" t="str">
        <f t="shared" si="11"/>
        <v/>
      </c>
      <c r="Z44" s="43" t="str">
        <f t="shared" si="12"/>
        <v/>
      </c>
      <c r="AA44" s="44" t="str">
        <f t="shared" si="13"/>
        <v>Sem custo</v>
      </c>
    </row>
    <row r="45" spans="1:27" ht="15" customHeight="1" x14ac:dyDescent="0.25">
      <c r="A45" s="12" t="s">
        <v>71</v>
      </c>
      <c r="B45" s="45" t="s">
        <v>32</v>
      </c>
      <c r="C45" s="12" t="s">
        <v>78</v>
      </c>
      <c r="D45" s="40">
        <v>196.91</v>
      </c>
      <c r="E45" s="14"/>
      <c r="F45" s="13">
        <f>D45*G45</f>
        <v>28.551949999999998</v>
      </c>
      <c r="G45" s="15">
        <v>0.14499999999999999</v>
      </c>
      <c r="H45" s="40">
        <v>0</v>
      </c>
      <c r="I45" s="40">
        <v>20.75</v>
      </c>
      <c r="J45" s="13">
        <f t="shared" si="0"/>
        <v>147.60804999999999</v>
      </c>
      <c r="K45" s="14"/>
      <c r="L45" s="15">
        <f t="shared" si="1"/>
        <v>0.08</v>
      </c>
      <c r="M45" s="13">
        <f t="shared" si="2"/>
        <v>15.752800000000001</v>
      </c>
      <c r="N45" s="13">
        <f t="shared" si="3"/>
        <v>131.85524999999998</v>
      </c>
      <c r="O45" s="15">
        <f t="shared" si="4"/>
        <v>0.66962190848611036</v>
      </c>
      <c r="P45" s="16" t="str">
        <f t="shared" si="5"/>
        <v/>
      </c>
      <c r="Q45" s="41" t="str">
        <f t="shared" si="6"/>
        <v/>
      </c>
      <c r="T45" s="42"/>
      <c r="U45" s="16" t="str">
        <f t="shared" si="7"/>
        <v/>
      </c>
      <c r="V45" s="41" t="str">
        <f t="shared" si="8"/>
        <v/>
      </c>
      <c r="W45" s="17" t="str">
        <f t="shared" si="9"/>
        <v/>
      </c>
      <c r="X45" s="41" t="str">
        <f t="shared" si="10"/>
        <v/>
      </c>
      <c r="Y45" s="43" t="str">
        <f t="shared" si="11"/>
        <v/>
      </c>
      <c r="Z45" s="43" t="str">
        <f t="shared" si="12"/>
        <v/>
      </c>
      <c r="AA45" s="44" t="str">
        <f t="shared" si="13"/>
        <v>Sem custo</v>
      </c>
    </row>
    <row r="46" spans="1:27" ht="15" customHeight="1" x14ac:dyDescent="0.25">
      <c r="A46" s="12" t="s">
        <v>79</v>
      </c>
      <c r="B46" s="40">
        <v>15.8</v>
      </c>
      <c r="C46" s="12" t="s">
        <v>80</v>
      </c>
      <c r="D46" s="40">
        <v>39.9</v>
      </c>
      <c r="E46" s="13">
        <f>D46*G46</f>
        <v>4.5884999999999998</v>
      </c>
      <c r="F46" s="14"/>
      <c r="G46" s="15">
        <v>0.115</v>
      </c>
      <c r="H46" s="40">
        <v>6.85</v>
      </c>
      <c r="I46" s="40">
        <v>0</v>
      </c>
      <c r="J46" s="13">
        <f t="shared" si="0"/>
        <v>28.461499999999994</v>
      </c>
      <c r="K46" s="13"/>
      <c r="L46" s="15">
        <f t="shared" si="1"/>
        <v>0.08</v>
      </c>
      <c r="M46" s="13">
        <f t="shared" si="2"/>
        <v>3.1920000000000002</v>
      </c>
      <c r="N46" s="13">
        <f t="shared" si="3"/>
        <v>9.4694999999999929</v>
      </c>
      <c r="O46" s="15">
        <f t="shared" si="4"/>
        <v>0.237330827067669</v>
      </c>
      <c r="P46" s="16">
        <f t="shared" si="5"/>
        <v>37.438016528925615</v>
      </c>
      <c r="Q46" s="41">
        <f t="shared" si="6"/>
        <v>0.19999999999999996</v>
      </c>
      <c r="T46" s="42"/>
      <c r="U46" s="16">
        <f t="shared" si="7"/>
        <v>44.925619834710737</v>
      </c>
      <c r="V46" s="41">
        <f t="shared" si="8"/>
        <v>0.16666666666666663</v>
      </c>
      <c r="W46" s="17">
        <f t="shared" si="9"/>
        <v>0.30083333333333323</v>
      </c>
      <c r="X46" s="41">
        <f t="shared" si="10"/>
        <v>0.19999999999999996</v>
      </c>
      <c r="Y46" s="43">
        <f t="shared" si="11"/>
        <v>7.4876033057851217</v>
      </c>
      <c r="Z46" s="43">
        <f t="shared" si="12"/>
        <v>37.438016528925615</v>
      </c>
      <c r="AA46" s="44" t="str">
        <f t="shared" si="13"/>
        <v>OK</v>
      </c>
    </row>
    <row r="47" spans="1:27" ht="15" customHeight="1" x14ac:dyDescent="0.25">
      <c r="A47" s="12" t="s">
        <v>81</v>
      </c>
      <c r="B47" s="40">
        <v>63.02</v>
      </c>
      <c r="C47" s="12" t="s">
        <v>82</v>
      </c>
      <c r="D47" s="40">
        <v>204.9</v>
      </c>
      <c r="E47" s="14"/>
      <c r="F47" s="13">
        <f>D47*G47</f>
        <v>27.661500000000004</v>
      </c>
      <c r="G47" s="15">
        <v>0.13500000000000001</v>
      </c>
      <c r="H47" s="40">
        <v>0</v>
      </c>
      <c r="I47" s="40">
        <v>24.65</v>
      </c>
      <c r="J47" s="13">
        <f t="shared" si="0"/>
        <v>152.58849999999998</v>
      </c>
      <c r="K47" s="13"/>
      <c r="L47" s="15">
        <f t="shared" si="1"/>
        <v>0.08</v>
      </c>
      <c r="M47" s="13">
        <f t="shared" si="2"/>
        <v>16.391999999999999</v>
      </c>
      <c r="N47" s="13">
        <f t="shared" si="3"/>
        <v>73.176499999999976</v>
      </c>
      <c r="O47" s="15">
        <f t="shared" si="4"/>
        <v>0.35713274768179587</v>
      </c>
      <c r="P47" s="16">
        <f t="shared" si="5"/>
        <v>149.86324786324786</v>
      </c>
      <c r="Q47" s="41">
        <f t="shared" si="6"/>
        <v>0.19999999999999996</v>
      </c>
      <c r="T47" s="42"/>
      <c r="U47" s="16">
        <f t="shared" si="7"/>
        <v>179.83589743589744</v>
      </c>
      <c r="V47" s="41">
        <f t="shared" si="8"/>
        <v>0.16666666666666663</v>
      </c>
      <c r="W47" s="17">
        <f t="shared" si="9"/>
        <v>0.29749999999999993</v>
      </c>
      <c r="X47" s="41">
        <f t="shared" si="10"/>
        <v>0.19999999999999996</v>
      </c>
      <c r="Y47" s="43">
        <f t="shared" si="11"/>
        <v>29.972649572649566</v>
      </c>
      <c r="Z47" s="43">
        <f t="shared" si="12"/>
        <v>149.86324786324786</v>
      </c>
      <c r="AA47" s="44" t="str">
        <f t="shared" si="13"/>
        <v>OK</v>
      </c>
    </row>
    <row r="48" spans="1:27" ht="15" customHeight="1" x14ac:dyDescent="0.25">
      <c r="A48" s="12" t="s">
        <v>83</v>
      </c>
      <c r="B48" s="40">
        <v>5.8</v>
      </c>
      <c r="C48" s="12" t="s">
        <v>84</v>
      </c>
      <c r="D48" s="40">
        <v>19.989999999999998</v>
      </c>
      <c r="E48" s="14"/>
      <c r="F48" s="13">
        <f>D48*G48</f>
        <v>3.2983500000000001</v>
      </c>
      <c r="G48" s="15">
        <v>0.16500000000000001</v>
      </c>
      <c r="H48" s="40">
        <v>8.5500000000000007</v>
      </c>
      <c r="I48" s="40">
        <v>0</v>
      </c>
      <c r="J48" s="13">
        <f t="shared" si="0"/>
        <v>8.1416499999999985</v>
      </c>
      <c r="K48" s="13"/>
      <c r="L48" s="15">
        <f t="shared" si="1"/>
        <v>0.08</v>
      </c>
      <c r="M48" s="13">
        <f t="shared" si="2"/>
        <v>1.5992</v>
      </c>
      <c r="N48" s="13">
        <f t="shared" si="3"/>
        <v>0.74244999999999872</v>
      </c>
      <c r="O48" s="15">
        <f t="shared" si="4"/>
        <v>3.7141070535267572E-2</v>
      </c>
      <c r="P48" s="16">
        <f t="shared" si="5"/>
        <v>25.855855855855861</v>
      </c>
      <c r="Q48" s="41">
        <f t="shared" si="6"/>
        <v>0.20000000000000004</v>
      </c>
      <c r="T48" s="42"/>
      <c r="U48" s="16">
        <f t="shared" si="7"/>
        <v>31.027027027027032</v>
      </c>
      <c r="V48" s="41">
        <f t="shared" si="8"/>
        <v>0.16666666666666663</v>
      </c>
      <c r="W48" s="17">
        <f t="shared" si="9"/>
        <v>0.29250000000000004</v>
      </c>
      <c r="X48" s="41">
        <f t="shared" si="10"/>
        <v>0.20000000000000004</v>
      </c>
      <c r="Y48" s="43">
        <f t="shared" si="11"/>
        <v>5.1711711711711734</v>
      </c>
      <c r="Z48" s="43">
        <f t="shared" si="12"/>
        <v>25.855855855855861</v>
      </c>
      <c r="AA48" s="44" t="str">
        <f t="shared" si="13"/>
        <v>OK</v>
      </c>
    </row>
    <row r="49" spans="1:27" ht="15" customHeight="1" x14ac:dyDescent="0.25">
      <c r="A49" s="12" t="s">
        <v>81</v>
      </c>
      <c r="B49" s="40">
        <v>63.02</v>
      </c>
      <c r="C49" s="12" t="s">
        <v>85</v>
      </c>
      <c r="D49" s="40">
        <v>145.9</v>
      </c>
      <c r="E49" s="13">
        <f>D49*G49</f>
        <v>16.778500000000001</v>
      </c>
      <c r="F49" s="14"/>
      <c r="G49" s="15">
        <v>0.115</v>
      </c>
      <c r="H49" s="40">
        <v>0</v>
      </c>
      <c r="I49" s="40">
        <v>19.25</v>
      </c>
      <c r="J49" s="13">
        <f t="shared" si="0"/>
        <v>109.8715</v>
      </c>
      <c r="K49" s="13"/>
      <c r="L49" s="15">
        <f t="shared" si="1"/>
        <v>0.08</v>
      </c>
      <c r="M49" s="13">
        <f t="shared" si="2"/>
        <v>11.672000000000001</v>
      </c>
      <c r="N49" s="13">
        <f t="shared" si="3"/>
        <v>35.17949999999999</v>
      </c>
      <c r="O49" s="15">
        <f t="shared" si="4"/>
        <v>0.24112063056888272</v>
      </c>
      <c r="P49" s="16">
        <f t="shared" si="5"/>
        <v>135.98347107438019</v>
      </c>
      <c r="Q49" s="41">
        <f t="shared" si="6"/>
        <v>0.2</v>
      </c>
      <c r="T49" s="42"/>
      <c r="U49" s="16">
        <f t="shared" si="7"/>
        <v>163.18016528925622</v>
      </c>
      <c r="V49" s="41">
        <f t="shared" si="8"/>
        <v>0.16666666666666663</v>
      </c>
      <c r="W49" s="17">
        <f t="shared" si="9"/>
        <v>0.30083333333333345</v>
      </c>
      <c r="X49" s="41">
        <f t="shared" si="10"/>
        <v>0.2</v>
      </c>
      <c r="Y49" s="43">
        <f t="shared" si="11"/>
        <v>27.19669421487604</v>
      </c>
      <c r="Z49" s="43">
        <f t="shared" si="12"/>
        <v>135.98347107438019</v>
      </c>
      <c r="AA49" s="44" t="str">
        <f t="shared" si="13"/>
        <v>OK</v>
      </c>
    </row>
    <row r="50" spans="1:27" ht="15" customHeight="1" x14ac:dyDescent="0.25">
      <c r="A50" s="12" t="s">
        <v>83</v>
      </c>
      <c r="B50" s="40">
        <v>5.8</v>
      </c>
      <c r="C50" s="12" t="s">
        <v>86</v>
      </c>
      <c r="D50" s="40">
        <v>19.989999999999998</v>
      </c>
      <c r="E50" s="13">
        <f>D50*G50</f>
        <v>2.2988499999999998</v>
      </c>
      <c r="F50" s="14"/>
      <c r="G50" s="15">
        <v>0.115</v>
      </c>
      <c r="H50" s="40">
        <v>8.5500000000000007</v>
      </c>
      <c r="I50" s="40">
        <v>0</v>
      </c>
      <c r="J50" s="13">
        <f t="shared" si="0"/>
        <v>9.1411499999999997</v>
      </c>
      <c r="K50" s="13"/>
      <c r="L50" s="15">
        <f t="shared" si="1"/>
        <v>0.08</v>
      </c>
      <c r="M50" s="13">
        <f t="shared" si="2"/>
        <v>1.5992</v>
      </c>
      <c r="N50" s="13">
        <f t="shared" si="3"/>
        <v>1.7419499999999999</v>
      </c>
      <c r="O50" s="15">
        <f t="shared" si="4"/>
        <v>8.7141070535267637E-2</v>
      </c>
      <c r="P50" s="16">
        <f t="shared" si="5"/>
        <v>23.719008264462811</v>
      </c>
      <c r="Q50" s="41">
        <f t="shared" si="6"/>
        <v>0.19999999999999998</v>
      </c>
      <c r="T50" s="42"/>
      <c r="U50" s="16">
        <f t="shared" si="7"/>
        <v>28.462809917355372</v>
      </c>
      <c r="V50" s="41">
        <f t="shared" si="8"/>
        <v>0.16666666666666663</v>
      </c>
      <c r="W50" s="17">
        <f t="shared" si="9"/>
        <v>0.30083333333333334</v>
      </c>
      <c r="X50" s="41">
        <f t="shared" si="10"/>
        <v>0.19999999999999998</v>
      </c>
      <c r="Y50" s="43">
        <f t="shared" si="11"/>
        <v>4.7438016528925617</v>
      </c>
      <c r="Z50" s="43">
        <f t="shared" si="12"/>
        <v>23.719008264462811</v>
      </c>
      <c r="AA50" s="44" t="str">
        <f t="shared" si="13"/>
        <v>OK</v>
      </c>
    </row>
    <row r="51" spans="1:27" ht="15" customHeight="1" x14ac:dyDescent="0.25">
      <c r="A51" s="12" t="s">
        <v>87</v>
      </c>
      <c r="B51" s="40">
        <v>166.1</v>
      </c>
      <c r="C51" s="12" t="s">
        <v>88</v>
      </c>
      <c r="D51" s="40">
        <v>347.6</v>
      </c>
      <c r="E51" s="14"/>
      <c r="F51" s="13">
        <f>D51*G51</f>
        <v>50.402000000000001</v>
      </c>
      <c r="G51" s="15">
        <v>0.14499999999999999</v>
      </c>
      <c r="H51" s="40">
        <v>0</v>
      </c>
      <c r="I51" s="40">
        <v>78.650000000000006</v>
      </c>
      <c r="J51" s="13">
        <f t="shared" si="0"/>
        <v>218.54800000000003</v>
      </c>
      <c r="K51" s="13"/>
      <c r="L51" s="15">
        <f t="shared" si="1"/>
        <v>0.08</v>
      </c>
      <c r="M51" s="13">
        <f t="shared" si="2"/>
        <v>27.808000000000003</v>
      </c>
      <c r="N51" s="13">
        <f t="shared" si="3"/>
        <v>24.640000000000033</v>
      </c>
      <c r="O51" s="15">
        <f t="shared" si="4"/>
        <v>7.0886075949367175E-2</v>
      </c>
      <c r="P51" s="16">
        <f t="shared" si="5"/>
        <v>425.6521739130435</v>
      </c>
      <c r="Q51" s="41">
        <f t="shared" si="6"/>
        <v>0.20000000000000018</v>
      </c>
      <c r="T51" s="42"/>
      <c r="U51" s="16">
        <f t="shared" si="7"/>
        <v>510.78260869565219</v>
      </c>
      <c r="V51" s="41">
        <f t="shared" si="8"/>
        <v>0.16666666666666663</v>
      </c>
      <c r="W51" s="17">
        <f t="shared" si="9"/>
        <v>0.29583333333333345</v>
      </c>
      <c r="X51" s="41">
        <f t="shared" si="10"/>
        <v>0.20000000000000018</v>
      </c>
      <c r="Y51" s="43">
        <f t="shared" si="11"/>
        <v>85.130434782608774</v>
      </c>
      <c r="Z51" s="43">
        <f t="shared" si="12"/>
        <v>425.6521739130435</v>
      </c>
      <c r="AA51" s="44" t="str">
        <f t="shared" si="13"/>
        <v>OK</v>
      </c>
    </row>
    <row r="52" spans="1:27" ht="15" customHeight="1" x14ac:dyDescent="0.25">
      <c r="A52" s="12" t="s">
        <v>87</v>
      </c>
      <c r="B52" s="40">
        <v>166.1</v>
      </c>
      <c r="C52" s="12" t="s">
        <v>89</v>
      </c>
      <c r="D52" s="40">
        <v>347.6</v>
      </c>
      <c r="E52" s="14"/>
      <c r="F52" s="13">
        <f>D52*G52</f>
        <v>50.402000000000001</v>
      </c>
      <c r="G52" s="15">
        <v>0.14499999999999999</v>
      </c>
      <c r="H52" s="40">
        <v>0</v>
      </c>
      <c r="I52" s="40">
        <v>78.650000000000006</v>
      </c>
      <c r="J52" s="13">
        <f t="shared" si="0"/>
        <v>218.54800000000003</v>
      </c>
      <c r="K52" s="13"/>
      <c r="L52" s="15">
        <f t="shared" si="1"/>
        <v>0.08</v>
      </c>
      <c r="M52" s="13">
        <f t="shared" si="2"/>
        <v>27.808000000000003</v>
      </c>
      <c r="N52" s="13">
        <f t="shared" si="3"/>
        <v>24.640000000000033</v>
      </c>
      <c r="O52" s="15">
        <f t="shared" si="4"/>
        <v>7.0886075949367175E-2</v>
      </c>
      <c r="P52" s="16">
        <f t="shared" si="5"/>
        <v>425.6521739130435</v>
      </c>
      <c r="Q52" s="41">
        <f t="shared" si="6"/>
        <v>0.20000000000000018</v>
      </c>
      <c r="T52" s="42"/>
      <c r="U52" s="16">
        <f t="shared" si="7"/>
        <v>510.78260869565219</v>
      </c>
      <c r="V52" s="41">
        <f t="shared" si="8"/>
        <v>0.16666666666666663</v>
      </c>
      <c r="W52" s="17">
        <f t="shared" si="9"/>
        <v>0.29583333333333345</v>
      </c>
      <c r="X52" s="41">
        <f t="shared" si="10"/>
        <v>0.20000000000000018</v>
      </c>
      <c r="Y52" s="43">
        <f t="shared" si="11"/>
        <v>85.130434782608774</v>
      </c>
      <c r="Z52" s="43">
        <f t="shared" si="12"/>
        <v>425.6521739130435</v>
      </c>
      <c r="AA52" s="44" t="str">
        <f t="shared" si="13"/>
        <v>OK</v>
      </c>
    </row>
    <row r="53" spans="1:27" ht="15" customHeight="1" x14ac:dyDescent="0.25">
      <c r="A53" s="12" t="s">
        <v>90</v>
      </c>
      <c r="B53" s="40">
        <v>11.3</v>
      </c>
      <c r="C53" s="12" t="s">
        <v>91</v>
      </c>
      <c r="D53" s="40">
        <v>31.9</v>
      </c>
      <c r="E53" s="13">
        <f>D53*G53</f>
        <v>3.6684999999999999</v>
      </c>
      <c r="F53" s="14"/>
      <c r="G53" s="15">
        <v>0.115</v>
      </c>
      <c r="H53" s="40">
        <v>6.65</v>
      </c>
      <c r="I53" s="40">
        <v>0</v>
      </c>
      <c r="J53" s="13">
        <f t="shared" si="0"/>
        <v>21.581499999999998</v>
      </c>
      <c r="K53" s="13"/>
      <c r="L53" s="15">
        <f t="shared" si="1"/>
        <v>0.08</v>
      </c>
      <c r="M53" s="13">
        <f t="shared" si="2"/>
        <v>2.552</v>
      </c>
      <c r="N53" s="13">
        <f t="shared" si="3"/>
        <v>7.729499999999998</v>
      </c>
      <c r="O53" s="15">
        <f t="shared" si="4"/>
        <v>0.24230407523510966</v>
      </c>
      <c r="P53" s="16">
        <f t="shared" si="5"/>
        <v>29.669421487603312</v>
      </c>
      <c r="Q53" s="41">
        <f t="shared" si="6"/>
        <v>0.20000000000000015</v>
      </c>
      <c r="T53" s="42"/>
      <c r="U53" s="16">
        <f t="shared" si="7"/>
        <v>35.603305785123972</v>
      </c>
      <c r="V53" s="41">
        <f t="shared" si="8"/>
        <v>0.16666666666666663</v>
      </c>
      <c r="W53" s="17">
        <f t="shared" si="9"/>
        <v>0.30083333333333334</v>
      </c>
      <c r="X53" s="41">
        <f t="shared" si="10"/>
        <v>0.20000000000000015</v>
      </c>
      <c r="Y53" s="43">
        <f t="shared" si="11"/>
        <v>5.9338842975206667</v>
      </c>
      <c r="Z53" s="43">
        <f t="shared" si="12"/>
        <v>29.669421487603312</v>
      </c>
      <c r="AA53" s="44" t="str">
        <f t="shared" si="13"/>
        <v>OK</v>
      </c>
    </row>
    <row r="54" spans="1:27" ht="15" customHeight="1" x14ac:dyDescent="0.25">
      <c r="A54" s="12" t="s">
        <v>92</v>
      </c>
      <c r="B54" s="45" t="s">
        <v>32</v>
      </c>
      <c r="C54" s="12" t="s">
        <v>93</v>
      </c>
      <c r="D54" s="40">
        <v>23.9</v>
      </c>
      <c r="E54" s="14"/>
      <c r="F54" s="13">
        <f>D54*G54</f>
        <v>3.9434999999999998</v>
      </c>
      <c r="G54" s="15">
        <v>0.16500000000000001</v>
      </c>
      <c r="H54" s="40">
        <v>6.95</v>
      </c>
      <c r="I54" s="40">
        <v>0</v>
      </c>
      <c r="J54" s="13">
        <f t="shared" si="0"/>
        <v>13.006499999999999</v>
      </c>
      <c r="K54" s="14"/>
      <c r="L54" s="15">
        <f t="shared" si="1"/>
        <v>0.08</v>
      </c>
      <c r="M54" s="13">
        <f t="shared" si="2"/>
        <v>1.9119999999999999</v>
      </c>
      <c r="N54" s="13">
        <f t="shared" si="3"/>
        <v>11.0945</v>
      </c>
      <c r="O54" s="15">
        <f t="shared" si="4"/>
        <v>0.46420502092050214</v>
      </c>
      <c r="P54" s="16" t="str">
        <f t="shared" si="5"/>
        <v/>
      </c>
      <c r="Q54" s="41" t="str">
        <f t="shared" si="6"/>
        <v/>
      </c>
      <c r="T54" s="42"/>
      <c r="U54" s="16" t="str">
        <f t="shared" si="7"/>
        <v/>
      </c>
      <c r="V54" s="41" t="str">
        <f t="shared" si="8"/>
        <v/>
      </c>
      <c r="W54" s="17" t="str">
        <f t="shared" si="9"/>
        <v/>
      </c>
      <c r="X54" s="41" t="str">
        <f t="shared" si="10"/>
        <v/>
      </c>
      <c r="Y54" s="43" t="str">
        <f t="shared" si="11"/>
        <v/>
      </c>
      <c r="Z54" s="43" t="str">
        <f t="shared" si="12"/>
        <v/>
      </c>
      <c r="AA54" s="44" t="str">
        <f t="shared" si="13"/>
        <v>Sem custo</v>
      </c>
    </row>
    <row r="55" spans="1:27" ht="15" customHeight="1" x14ac:dyDescent="0.25">
      <c r="A55" s="12" t="s">
        <v>92</v>
      </c>
      <c r="B55" s="45" t="s">
        <v>32</v>
      </c>
      <c r="C55" s="12" t="s">
        <v>94</v>
      </c>
      <c r="D55" s="40">
        <v>20.49</v>
      </c>
      <c r="E55" s="13">
        <f>D55*G55</f>
        <v>2.3563499999999999</v>
      </c>
      <c r="F55" s="14"/>
      <c r="G55" s="15">
        <v>0.115</v>
      </c>
      <c r="H55" s="40">
        <v>6.95</v>
      </c>
      <c r="I55" s="40">
        <v>0</v>
      </c>
      <c r="J55" s="13">
        <f t="shared" si="0"/>
        <v>11.18365</v>
      </c>
      <c r="K55" s="14"/>
      <c r="L55" s="15">
        <f t="shared" si="1"/>
        <v>0.08</v>
      </c>
      <c r="M55" s="13">
        <f t="shared" si="2"/>
        <v>1.6392</v>
      </c>
      <c r="N55" s="13">
        <f t="shared" si="3"/>
        <v>9.5444499999999994</v>
      </c>
      <c r="O55" s="15">
        <f t="shared" si="4"/>
        <v>0.46581015129331382</v>
      </c>
      <c r="P55" s="16" t="str">
        <f t="shared" si="5"/>
        <v/>
      </c>
      <c r="Q55" s="41" t="str">
        <f t="shared" si="6"/>
        <v/>
      </c>
      <c r="T55" s="42"/>
      <c r="U55" s="16" t="str">
        <f t="shared" si="7"/>
        <v/>
      </c>
      <c r="V55" s="41" t="str">
        <f t="shared" si="8"/>
        <v/>
      </c>
      <c r="W55" s="17" t="str">
        <f t="shared" si="9"/>
        <v/>
      </c>
      <c r="X55" s="41" t="str">
        <f t="shared" si="10"/>
        <v/>
      </c>
      <c r="Y55" s="43" t="str">
        <f t="shared" si="11"/>
        <v/>
      </c>
      <c r="Z55" s="43" t="str">
        <f t="shared" si="12"/>
        <v/>
      </c>
      <c r="AA55" s="44" t="str">
        <f t="shared" si="13"/>
        <v>Sem custo</v>
      </c>
    </row>
    <row r="56" spans="1:27" ht="15" customHeight="1" x14ac:dyDescent="0.25">
      <c r="A56" s="12" t="s">
        <v>95</v>
      </c>
      <c r="B56" s="40">
        <v>20.75</v>
      </c>
      <c r="C56" s="12" t="s">
        <v>96</v>
      </c>
      <c r="D56" s="40">
        <v>46.9</v>
      </c>
      <c r="E56" s="13">
        <f>D56*G56</f>
        <v>5.3935000000000004</v>
      </c>
      <c r="F56" s="14"/>
      <c r="G56" s="15">
        <v>0.115</v>
      </c>
      <c r="H56" s="40">
        <v>6.75</v>
      </c>
      <c r="I56" s="40">
        <v>0</v>
      </c>
      <c r="J56" s="13">
        <f t="shared" si="0"/>
        <v>34.756499999999996</v>
      </c>
      <c r="K56" s="13"/>
      <c r="L56" s="15">
        <f t="shared" si="1"/>
        <v>0.08</v>
      </c>
      <c r="M56" s="13">
        <f t="shared" si="2"/>
        <v>3.7519999999999998</v>
      </c>
      <c r="N56" s="13">
        <f t="shared" si="3"/>
        <v>10.254499999999997</v>
      </c>
      <c r="O56" s="15">
        <f t="shared" si="4"/>
        <v>0.21864605543710014</v>
      </c>
      <c r="P56" s="16">
        <f t="shared" si="5"/>
        <v>45.454545454545453</v>
      </c>
      <c r="Q56" s="41">
        <f t="shared" si="6"/>
        <v>0.19999999999999998</v>
      </c>
      <c r="T56" s="42"/>
      <c r="U56" s="16">
        <f t="shared" si="7"/>
        <v>54.54545454545454</v>
      </c>
      <c r="V56" s="41">
        <f t="shared" si="8"/>
        <v>0.16666666666666663</v>
      </c>
      <c r="W56" s="17">
        <f t="shared" si="9"/>
        <v>0.30083333333333334</v>
      </c>
      <c r="X56" s="41">
        <f t="shared" si="10"/>
        <v>0.19999999999999998</v>
      </c>
      <c r="Y56" s="43">
        <f t="shared" si="11"/>
        <v>9.0909090909090899</v>
      </c>
      <c r="Z56" s="43">
        <f t="shared" si="12"/>
        <v>45.454545454545453</v>
      </c>
      <c r="AA56" s="44" t="str">
        <f t="shared" si="13"/>
        <v>OK</v>
      </c>
    </row>
    <row r="57" spans="1:27" ht="15" customHeight="1" x14ac:dyDescent="0.25">
      <c r="A57" s="12" t="s">
        <v>97</v>
      </c>
      <c r="B57" s="40">
        <v>18.25</v>
      </c>
      <c r="C57" s="12" t="s">
        <v>98</v>
      </c>
      <c r="D57" s="40">
        <v>33.9</v>
      </c>
      <c r="E57" s="13">
        <f>D57*G57</f>
        <v>3.8984999999999999</v>
      </c>
      <c r="F57" s="14"/>
      <c r="G57" s="15">
        <v>0.115</v>
      </c>
      <c r="H57" s="40">
        <v>6.55</v>
      </c>
      <c r="I57" s="40">
        <v>0</v>
      </c>
      <c r="J57" s="13">
        <f t="shared" si="0"/>
        <v>23.451499999999999</v>
      </c>
      <c r="K57" s="13"/>
      <c r="L57" s="15">
        <f t="shared" si="1"/>
        <v>0.08</v>
      </c>
      <c r="M57" s="13">
        <f t="shared" si="2"/>
        <v>2.7119999999999997</v>
      </c>
      <c r="N57" s="13">
        <f t="shared" si="3"/>
        <v>2.4894999999999996</v>
      </c>
      <c r="O57" s="15">
        <f t="shared" si="4"/>
        <v>7.3436578171091435E-2</v>
      </c>
      <c r="P57" s="16">
        <f t="shared" si="5"/>
        <v>40.991735537190088</v>
      </c>
      <c r="Q57" s="41">
        <f t="shared" si="6"/>
        <v>0.20000000000000009</v>
      </c>
      <c r="T57" s="42"/>
      <c r="U57" s="16">
        <f t="shared" si="7"/>
        <v>49.190082644628106</v>
      </c>
      <c r="V57" s="41">
        <f t="shared" si="8"/>
        <v>0.16666666666666663</v>
      </c>
      <c r="W57" s="17">
        <f t="shared" si="9"/>
        <v>0.30083333333333334</v>
      </c>
      <c r="X57" s="41">
        <f t="shared" si="10"/>
        <v>0.20000000000000009</v>
      </c>
      <c r="Y57" s="43">
        <f t="shared" si="11"/>
        <v>8.1983471074380212</v>
      </c>
      <c r="Z57" s="43">
        <f t="shared" si="12"/>
        <v>40.991735537190088</v>
      </c>
      <c r="AA57" s="44" t="str">
        <f t="shared" si="13"/>
        <v>OK</v>
      </c>
    </row>
    <row r="58" spans="1:27" ht="15" customHeight="1" x14ac:dyDescent="0.25">
      <c r="A58" s="12" t="s">
        <v>99</v>
      </c>
      <c r="B58" s="40">
        <v>50.25</v>
      </c>
      <c r="C58" s="12" t="s">
        <v>100</v>
      </c>
      <c r="D58" s="40">
        <v>72.989999999999995</v>
      </c>
      <c r="E58" s="14"/>
      <c r="F58" s="13">
        <f>D58*G58</f>
        <v>12.04335</v>
      </c>
      <c r="G58" s="15">
        <v>0.16500000000000001</v>
      </c>
      <c r="H58" s="40">
        <v>7.75</v>
      </c>
      <c r="I58" s="40">
        <v>0</v>
      </c>
      <c r="J58" s="13">
        <f t="shared" si="0"/>
        <v>53.196649999999991</v>
      </c>
      <c r="K58" s="13"/>
      <c r="L58" s="15">
        <f t="shared" si="1"/>
        <v>0.08</v>
      </c>
      <c r="M58" s="13">
        <f t="shared" si="2"/>
        <v>5.8391999999999999</v>
      </c>
      <c r="N58" s="13">
        <f t="shared" si="3"/>
        <v>-2.8925500000000088</v>
      </c>
      <c r="O58" s="15">
        <f t="shared" si="4"/>
        <v>-3.9629401287847775E-2</v>
      </c>
      <c r="P58" s="16">
        <f t="shared" si="5"/>
        <v>90.540540540540547</v>
      </c>
      <c r="Q58" s="41">
        <f t="shared" si="6"/>
        <v>0.20000000000000004</v>
      </c>
      <c r="T58" s="42"/>
      <c r="U58" s="16">
        <f t="shared" si="7"/>
        <v>108.64864864864866</v>
      </c>
      <c r="V58" s="41">
        <f t="shared" si="8"/>
        <v>0.16666666666666674</v>
      </c>
      <c r="W58" s="17">
        <f t="shared" si="9"/>
        <v>0.29250000000000004</v>
      </c>
      <c r="X58" s="41">
        <f t="shared" si="10"/>
        <v>0.20000000000000004</v>
      </c>
      <c r="Y58" s="43">
        <f t="shared" si="11"/>
        <v>18.108108108108112</v>
      </c>
      <c r="Z58" s="43">
        <f t="shared" si="12"/>
        <v>90.540540540540547</v>
      </c>
      <c r="AA58" s="44" t="str">
        <f t="shared" si="13"/>
        <v>⚠ Subiu p/ frete (I=0)</v>
      </c>
    </row>
    <row r="59" spans="1:27" ht="15" customHeight="1" x14ac:dyDescent="0.25">
      <c r="A59" s="12" t="s">
        <v>101</v>
      </c>
      <c r="B59" s="40">
        <v>12.75</v>
      </c>
      <c r="C59" s="12" t="s">
        <v>102</v>
      </c>
      <c r="D59" s="40">
        <v>21.9</v>
      </c>
      <c r="E59" s="13">
        <f>D59*G59</f>
        <v>2.5185</v>
      </c>
      <c r="F59" s="14"/>
      <c r="G59" s="15">
        <v>0.115</v>
      </c>
      <c r="H59" s="40">
        <v>8.5500000000000007</v>
      </c>
      <c r="I59" s="40">
        <v>0</v>
      </c>
      <c r="J59" s="13">
        <f t="shared" si="0"/>
        <v>10.831499999999998</v>
      </c>
      <c r="K59" s="13"/>
      <c r="L59" s="15">
        <f t="shared" si="1"/>
        <v>0.08</v>
      </c>
      <c r="M59" s="13">
        <f t="shared" si="2"/>
        <v>1.752</v>
      </c>
      <c r="N59" s="13">
        <f t="shared" si="3"/>
        <v>-3.6705000000000014</v>
      </c>
      <c r="O59" s="15">
        <f t="shared" si="4"/>
        <v>-0.16760273972602746</v>
      </c>
      <c r="P59" s="16">
        <f t="shared" si="5"/>
        <v>35.206611570247937</v>
      </c>
      <c r="Q59" s="41">
        <f t="shared" si="6"/>
        <v>0.2</v>
      </c>
      <c r="T59" s="42"/>
      <c r="U59" s="16">
        <f t="shared" si="7"/>
        <v>42.247933884297524</v>
      </c>
      <c r="V59" s="41">
        <f t="shared" si="8"/>
        <v>0.16666666666666663</v>
      </c>
      <c r="W59" s="17">
        <f t="shared" si="9"/>
        <v>0.30083333333333334</v>
      </c>
      <c r="X59" s="41">
        <f t="shared" si="10"/>
        <v>0.2</v>
      </c>
      <c r="Y59" s="43">
        <f t="shared" si="11"/>
        <v>7.0413223140495873</v>
      </c>
      <c r="Z59" s="43">
        <f t="shared" si="12"/>
        <v>35.206611570247937</v>
      </c>
      <c r="AA59" s="44" t="str">
        <f t="shared" si="13"/>
        <v>OK</v>
      </c>
    </row>
    <row r="60" spans="1:27" ht="15" customHeight="1" x14ac:dyDescent="0.25">
      <c r="A60" s="12" t="s">
        <v>101</v>
      </c>
      <c r="B60" s="40">
        <v>12.75</v>
      </c>
      <c r="C60" s="12" t="s">
        <v>103</v>
      </c>
      <c r="D60" s="40">
        <v>24.49</v>
      </c>
      <c r="E60" s="14"/>
      <c r="F60" s="13">
        <f>D60*G60</f>
        <v>4.0408499999999998</v>
      </c>
      <c r="G60" s="15">
        <v>0.16500000000000001</v>
      </c>
      <c r="H60" s="40">
        <v>8.5500000000000007</v>
      </c>
      <c r="I60" s="40">
        <v>0</v>
      </c>
      <c r="J60" s="13">
        <f t="shared" si="0"/>
        <v>11.899149999999999</v>
      </c>
      <c r="K60" s="13"/>
      <c r="L60" s="15">
        <f t="shared" si="1"/>
        <v>0.08</v>
      </c>
      <c r="M60" s="13">
        <f t="shared" si="2"/>
        <v>1.9591999999999998</v>
      </c>
      <c r="N60" s="13">
        <f t="shared" si="3"/>
        <v>-2.8100500000000013</v>
      </c>
      <c r="O60" s="15">
        <f t="shared" si="4"/>
        <v>-0.1147427521437322</v>
      </c>
      <c r="P60" s="16">
        <f t="shared" si="5"/>
        <v>38.378378378378386</v>
      </c>
      <c r="Q60" s="41">
        <f t="shared" si="6"/>
        <v>0.20000000000000009</v>
      </c>
      <c r="T60" s="42"/>
      <c r="U60" s="16">
        <f t="shared" si="7"/>
        <v>46.054054054054063</v>
      </c>
      <c r="V60" s="41">
        <f t="shared" si="8"/>
        <v>0.16666666666666663</v>
      </c>
      <c r="W60" s="17">
        <f t="shared" si="9"/>
        <v>0.29250000000000009</v>
      </c>
      <c r="X60" s="41">
        <f t="shared" si="10"/>
        <v>0.20000000000000009</v>
      </c>
      <c r="Y60" s="43">
        <f t="shared" si="11"/>
        <v>7.6756756756756808</v>
      </c>
      <c r="Z60" s="43">
        <f t="shared" si="12"/>
        <v>38.378378378378386</v>
      </c>
      <c r="AA60" s="44" t="str">
        <f t="shared" si="13"/>
        <v>OK</v>
      </c>
    </row>
    <row r="61" spans="1:27" ht="15" customHeight="1" x14ac:dyDescent="0.25">
      <c r="A61" s="12" t="s">
        <v>104</v>
      </c>
      <c r="B61" s="40">
        <v>11.75</v>
      </c>
      <c r="C61" s="12" t="s">
        <v>105</v>
      </c>
      <c r="D61" s="40">
        <v>28.9</v>
      </c>
      <c r="E61" s="13">
        <f>D61*G61</f>
        <v>3.3235000000000001</v>
      </c>
      <c r="F61" s="14"/>
      <c r="G61" s="15">
        <v>0.115</v>
      </c>
      <c r="H61" s="40">
        <v>6.75</v>
      </c>
      <c r="I61" s="40">
        <v>0</v>
      </c>
      <c r="J61" s="13">
        <f t="shared" si="0"/>
        <v>18.826499999999999</v>
      </c>
      <c r="K61" s="13"/>
      <c r="L61" s="15">
        <f t="shared" si="1"/>
        <v>0.08</v>
      </c>
      <c r="M61" s="13">
        <f t="shared" si="2"/>
        <v>2.3119999999999998</v>
      </c>
      <c r="N61" s="13">
        <f t="shared" si="3"/>
        <v>4.7645</v>
      </c>
      <c r="O61" s="15">
        <f t="shared" si="4"/>
        <v>0.16486159169550174</v>
      </c>
      <c r="P61" s="16">
        <f t="shared" si="5"/>
        <v>30.578512396694215</v>
      </c>
      <c r="Q61" s="41">
        <f t="shared" si="6"/>
        <v>0.2</v>
      </c>
      <c r="T61" s="42"/>
      <c r="U61" s="16">
        <f t="shared" si="7"/>
        <v>36.694214876033058</v>
      </c>
      <c r="V61" s="41">
        <f t="shared" si="8"/>
        <v>0.16666666666666663</v>
      </c>
      <c r="W61" s="17">
        <f t="shared" si="9"/>
        <v>0.30083333333333329</v>
      </c>
      <c r="X61" s="41">
        <f t="shared" si="10"/>
        <v>0.2</v>
      </c>
      <c r="Y61" s="43">
        <f t="shared" si="11"/>
        <v>6.115702479338843</v>
      </c>
      <c r="Z61" s="43">
        <f t="shared" si="12"/>
        <v>30.578512396694215</v>
      </c>
      <c r="AA61" s="44" t="str">
        <f t="shared" si="13"/>
        <v>OK</v>
      </c>
    </row>
    <row r="62" spans="1:27" ht="15" customHeight="1" x14ac:dyDescent="0.25">
      <c r="A62" s="12" t="s">
        <v>104</v>
      </c>
      <c r="B62" s="40">
        <v>11.75</v>
      </c>
      <c r="C62" s="12" t="s">
        <v>106</v>
      </c>
      <c r="D62" s="40">
        <v>31.9</v>
      </c>
      <c r="E62" s="14"/>
      <c r="F62" s="13">
        <f>D62*G62</f>
        <v>5.2634999999999996</v>
      </c>
      <c r="G62" s="15">
        <v>0.16500000000000001</v>
      </c>
      <c r="H62" s="40">
        <v>6.75</v>
      </c>
      <c r="I62" s="40">
        <v>0</v>
      </c>
      <c r="J62" s="13">
        <f t="shared" si="0"/>
        <v>19.886499999999998</v>
      </c>
      <c r="K62" s="13"/>
      <c r="L62" s="15">
        <f t="shared" si="1"/>
        <v>0.08</v>
      </c>
      <c r="M62" s="13">
        <f t="shared" si="2"/>
        <v>2.552</v>
      </c>
      <c r="N62" s="13">
        <f t="shared" si="3"/>
        <v>5.5844999999999985</v>
      </c>
      <c r="O62" s="15">
        <f t="shared" si="4"/>
        <v>0.17506269592476484</v>
      </c>
      <c r="P62" s="16">
        <f t="shared" si="5"/>
        <v>33.333333333333336</v>
      </c>
      <c r="Q62" s="41">
        <f t="shared" si="6"/>
        <v>0.2</v>
      </c>
      <c r="T62" s="42"/>
      <c r="U62" s="16">
        <f t="shared" si="7"/>
        <v>40</v>
      </c>
      <c r="V62" s="41">
        <f t="shared" si="8"/>
        <v>0.16666666666666663</v>
      </c>
      <c r="W62" s="17">
        <f t="shared" si="9"/>
        <v>0.29249999999999998</v>
      </c>
      <c r="X62" s="41">
        <f t="shared" si="10"/>
        <v>0.2</v>
      </c>
      <c r="Y62" s="43">
        <f t="shared" si="11"/>
        <v>6.6666666666666679</v>
      </c>
      <c r="Z62" s="43">
        <f t="shared" si="12"/>
        <v>33.333333333333336</v>
      </c>
      <c r="AA62" s="44" t="str">
        <f t="shared" si="13"/>
        <v>OK</v>
      </c>
    </row>
    <row r="63" spans="1:27" ht="15" customHeight="1" x14ac:dyDescent="0.25">
      <c r="A63" s="12" t="s">
        <v>95</v>
      </c>
      <c r="B63" s="40">
        <v>20.75</v>
      </c>
      <c r="C63" s="12" t="s">
        <v>107</v>
      </c>
      <c r="D63" s="40">
        <v>46.9</v>
      </c>
      <c r="E63" s="14"/>
      <c r="F63" s="13">
        <f>D63*G63</f>
        <v>7.7385000000000002</v>
      </c>
      <c r="G63" s="15">
        <v>0.16500000000000001</v>
      </c>
      <c r="H63" s="40">
        <v>6.75</v>
      </c>
      <c r="I63" s="40">
        <v>0</v>
      </c>
      <c r="J63" s="13">
        <f t="shared" si="0"/>
        <v>32.411499999999997</v>
      </c>
      <c r="K63" s="13"/>
      <c r="L63" s="15">
        <f t="shared" si="1"/>
        <v>0.08</v>
      </c>
      <c r="M63" s="13">
        <f t="shared" si="2"/>
        <v>3.7519999999999998</v>
      </c>
      <c r="N63" s="13">
        <f t="shared" si="3"/>
        <v>7.9094999999999969</v>
      </c>
      <c r="O63" s="15">
        <f t="shared" si="4"/>
        <v>0.16864605543710015</v>
      </c>
      <c r="P63" s="16">
        <f t="shared" si="5"/>
        <v>49.549549549549553</v>
      </c>
      <c r="Q63" s="41">
        <f t="shared" si="6"/>
        <v>0.20000000000000007</v>
      </c>
      <c r="T63" s="42"/>
      <c r="U63" s="16">
        <f t="shared" si="7"/>
        <v>59.45945945945946</v>
      </c>
      <c r="V63" s="41">
        <f t="shared" si="8"/>
        <v>0.16666666666666663</v>
      </c>
      <c r="W63" s="17">
        <f t="shared" si="9"/>
        <v>0.29249999999999993</v>
      </c>
      <c r="X63" s="41">
        <f t="shared" si="10"/>
        <v>0.20000000000000007</v>
      </c>
      <c r="Y63" s="43">
        <f t="shared" si="11"/>
        <v>9.9099099099099135</v>
      </c>
      <c r="Z63" s="43">
        <f t="shared" si="12"/>
        <v>49.549549549549553</v>
      </c>
      <c r="AA63" s="44" t="str">
        <f t="shared" si="13"/>
        <v>OK</v>
      </c>
    </row>
    <row r="64" spans="1:27" ht="15" customHeight="1" x14ac:dyDescent="0.25">
      <c r="A64" s="12" t="s">
        <v>99</v>
      </c>
      <c r="B64" s="40">
        <v>50.25</v>
      </c>
      <c r="C64" s="12" t="s">
        <v>108</v>
      </c>
      <c r="D64" s="40">
        <v>78</v>
      </c>
      <c r="E64" s="13">
        <f>D64*G64</f>
        <v>8.9700000000000006</v>
      </c>
      <c r="F64" s="14"/>
      <c r="G64" s="15">
        <v>0.115</v>
      </c>
      <c r="H64" s="40">
        <v>7.75</v>
      </c>
      <c r="I64" s="40">
        <v>0</v>
      </c>
      <c r="J64" s="13">
        <f t="shared" si="0"/>
        <v>61.28</v>
      </c>
      <c r="K64" s="13"/>
      <c r="L64" s="15">
        <f t="shared" si="1"/>
        <v>0.08</v>
      </c>
      <c r="M64" s="13">
        <f t="shared" si="2"/>
        <v>6.24</v>
      </c>
      <c r="N64" s="13">
        <f t="shared" si="3"/>
        <v>4.7900000000000009</v>
      </c>
      <c r="O64" s="15">
        <f t="shared" si="4"/>
        <v>6.1410256410256422E-2</v>
      </c>
      <c r="P64" s="16">
        <f t="shared" si="5"/>
        <v>83.057851239669418</v>
      </c>
      <c r="Q64" s="41">
        <f t="shared" si="6"/>
        <v>0.19999999999999982</v>
      </c>
      <c r="T64" s="42"/>
      <c r="U64" s="16">
        <f t="shared" si="7"/>
        <v>99.669421487603302</v>
      </c>
      <c r="V64" s="41">
        <f t="shared" si="8"/>
        <v>0.16666666666666663</v>
      </c>
      <c r="W64" s="17">
        <f t="shared" si="9"/>
        <v>0.30083333333333334</v>
      </c>
      <c r="X64" s="41">
        <f t="shared" si="10"/>
        <v>0.19999999999999982</v>
      </c>
      <c r="Y64" s="43">
        <f t="shared" si="11"/>
        <v>16.611570247933869</v>
      </c>
      <c r="Z64" s="43">
        <f t="shared" si="12"/>
        <v>83.057851239669418</v>
      </c>
      <c r="AA64" s="44" t="str">
        <f t="shared" si="13"/>
        <v>⚠ Subiu p/ frete (I=0)</v>
      </c>
    </row>
    <row r="65" spans="1:27" ht="15" customHeight="1" x14ac:dyDescent="0.25">
      <c r="A65" s="12" t="s">
        <v>109</v>
      </c>
      <c r="B65" s="40">
        <v>43.28</v>
      </c>
      <c r="C65" s="12" t="s">
        <v>110</v>
      </c>
      <c r="D65" s="40">
        <v>113.9</v>
      </c>
      <c r="E65" s="14"/>
      <c r="F65" s="13">
        <f>D65*G65</f>
        <v>18.793500000000002</v>
      </c>
      <c r="G65" s="15">
        <v>0.16500000000000001</v>
      </c>
      <c r="H65" s="40">
        <v>0</v>
      </c>
      <c r="I65" s="40">
        <v>16.850000000000001</v>
      </c>
      <c r="J65" s="13">
        <f t="shared" si="0"/>
        <v>78.256500000000017</v>
      </c>
      <c r="K65" s="13"/>
      <c r="L65" s="15">
        <f t="shared" si="1"/>
        <v>0.08</v>
      </c>
      <c r="M65" s="13">
        <f t="shared" si="2"/>
        <v>9.1120000000000001</v>
      </c>
      <c r="N65" s="13">
        <f t="shared" si="3"/>
        <v>25.864500000000014</v>
      </c>
      <c r="O65" s="15">
        <f t="shared" si="4"/>
        <v>0.22708077260755058</v>
      </c>
      <c r="P65" s="16">
        <f t="shared" si="5"/>
        <v>77.981981981981988</v>
      </c>
      <c r="Q65" s="41">
        <f t="shared" si="6"/>
        <v>0.19999999999999996</v>
      </c>
      <c r="T65" s="42"/>
      <c r="U65" s="16">
        <f t="shared" si="7"/>
        <v>93.578378378378389</v>
      </c>
      <c r="V65" s="41">
        <f t="shared" si="8"/>
        <v>0.16666666666666674</v>
      </c>
      <c r="W65" s="17">
        <f t="shared" si="9"/>
        <v>0.11243703789279116</v>
      </c>
      <c r="X65" s="41">
        <f t="shared" si="10"/>
        <v>0.19999999999999996</v>
      </c>
      <c r="Y65" s="43">
        <f t="shared" si="11"/>
        <v>15.596396396396393</v>
      </c>
      <c r="Z65" s="43">
        <f t="shared" si="12"/>
        <v>77.981981981981988</v>
      </c>
      <c r="AA65" s="44" t="str">
        <f t="shared" si="13"/>
        <v>OK</v>
      </c>
    </row>
    <row r="66" spans="1:27" ht="15" customHeight="1" x14ac:dyDescent="0.25">
      <c r="A66" s="12" t="s">
        <v>109</v>
      </c>
      <c r="B66" s="40">
        <v>43.28</v>
      </c>
      <c r="C66" s="12" t="s">
        <v>111</v>
      </c>
      <c r="D66" s="40">
        <v>109.9</v>
      </c>
      <c r="E66" s="13">
        <f>D66*G66</f>
        <v>12.638500000000001</v>
      </c>
      <c r="F66" s="14"/>
      <c r="G66" s="15">
        <v>0.115</v>
      </c>
      <c r="H66" s="40">
        <v>0</v>
      </c>
      <c r="I66" s="40">
        <v>16.850000000000001</v>
      </c>
      <c r="J66" s="13">
        <f t="shared" si="0"/>
        <v>80.411500000000018</v>
      </c>
      <c r="K66" s="13"/>
      <c r="L66" s="15">
        <f t="shared" si="1"/>
        <v>0.08</v>
      </c>
      <c r="M66" s="13">
        <f t="shared" si="2"/>
        <v>8.7919999999999998</v>
      </c>
      <c r="N66" s="13">
        <f t="shared" si="3"/>
        <v>28.339500000000015</v>
      </c>
      <c r="O66" s="15">
        <f t="shared" si="4"/>
        <v>0.25786624203821668</v>
      </c>
      <c r="P66" s="16">
        <f t="shared" si="5"/>
        <v>71.537190082644628</v>
      </c>
      <c r="Q66" s="41">
        <f t="shared" si="6"/>
        <v>0.19999999999999993</v>
      </c>
      <c r="T66" s="42"/>
      <c r="U66" s="16">
        <f t="shared" si="7"/>
        <v>85.844628099173548</v>
      </c>
      <c r="V66" s="41">
        <f t="shared" si="8"/>
        <v>0.16666666666666663</v>
      </c>
      <c r="W66" s="17">
        <f t="shared" si="9"/>
        <v>0.10454848274799741</v>
      </c>
      <c r="X66" s="41">
        <f t="shared" si="10"/>
        <v>0.19999999999999993</v>
      </c>
      <c r="Y66" s="43">
        <f t="shared" si="11"/>
        <v>14.30743801652892</v>
      </c>
      <c r="Z66" s="43">
        <f t="shared" si="12"/>
        <v>71.537190082644628</v>
      </c>
      <c r="AA66" s="44" t="str">
        <f t="shared" si="13"/>
        <v>OK</v>
      </c>
    </row>
    <row r="67" spans="1:27" ht="15" customHeight="1" x14ac:dyDescent="0.25">
      <c r="A67" s="12" t="s">
        <v>112</v>
      </c>
      <c r="B67" s="40">
        <v>62.46</v>
      </c>
      <c r="C67" s="12" t="s">
        <v>113</v>
      </c>
      <c r="D67" s="40">
        <v>89.9</v>
      </c>
      <c r="E67" s="13">
        <f>D67*G67</f>
        <v>10.788</v>
      </c>
      <c r="F67" s="14"/>
      <c r="G67" s="15">
        <v>0.12</v>
      </c>
      <c r="H67" s="40">
        <v>0</v>
      </c>
      <c r="I67" s="40">
        <v>14.15</v>
      </c>
      <c r="J67" s="13">
        <f t="shared" ref="J67:J130" si="14">D67-IFERROR(E67,0)-IFERROR(F67,0)-IF(D67&lt;79,H67,0)-IF(D67&gt;=79,I67,0)</f>
        <v>64.962000000000003</v>
      </c>
      <c r="K67" s="13"/>
      <c r="L67" s="15">
        <f t="shared" ref="L67:L130" si="15">$K$2</f>
        <v>0.08</v>
      </c>
      <c r="M67" s="13">
        <f t="shared" ref="M67:M130" si="16">D67*$K$2</f>
        <v>7.1920000000000002</v>
      </c>
      <c r="N67" s="13">
        <f t="shared" ref="N67:N130" si="17">J67-IF(ISNUMBER(B67),B67,0)-M67</f>
        <v>-4.6899999999999977</v>
      </c>
      <c r="O67" s="15">
        <f t="shared" ref="O67:O130" si="18">IFERROR(N67/D67,0)</f>
        <v>-5.2169076751946576E-2</v>
      </c>
      <c r="P67" s="16">
        <f t="shared" ref="P67:P130" si="19">IF(NOT(ISNUMBER(B67)),"",IF((1-G67-$K$2-$Q$2)&lt;=0,"erro",IF((B67+H67)/(1-G67-$K$2-$Q$2)&lt;79,(B67+H67)/(1-G67-$K$2-$Q$2),IF((78.99-78.99*G67-H67-78.99*$K$2-B67)/78.99&gt;=$R$2,78.99,IF((B67+I67)/(1-G67-$K$2-$Q$2)&gt;=79,(B67+I67)/(1-G67-$K$2-$Q$2),MAX(79,(B67+I67)/(1-G67-$K$2-$R$2)))))))</f>
        <v>127.68333333333331</v>
      </c>
      <c r="Q67" s="41">
        <f t="shared" ref="Q67:Q130" si="20">IF(NOT(ISNUMBER(P67)),"",(P67-P67*G67-IF(P67&lt;79,H67,I67)-P67*$K$2-B67)/P67)</f>
        <v>0.19999999999999984</v>
      </c>
      <c r="T67" s="42"/>
      <c r="U67" s="16">
        <f t="shared" ref="U67:U130" si="21">IF(NOT(ISNUMBER(P67)),"",P67*(1+$T$2))</f>
        <v>153.21999999999997</v>
      </c>
      <c r="V67" s="41">
        <f t="shared" ref="V67:V130" si="22">IF(NOT(ISNUMBER(U67)),"",1-P67/U67)</f>
        <v>0.16666666666666663</v>
      </c>
      <c r="W67" s="17">
        <f t="shared" ref="W67:W130" si="23">IF(NOT(ISNUMBER(U67)),"",(U67-U67*G67-IF(U67&lt;79,H67,I67)-U67*$K$2-B67)/U67)</f>
        <v>0.3</v>
      </c>
      <c r="X67" s="41">
        <f t="shared" ref="X67:X130" si="24">IF(NOT(ISNUMBER(P67)),"",(P67-P67*G67-IF(P67&lt;79,H67,I67)-P67*$K$2-B67)/P67)</f>
        <v>0.19999999999999984</v>
      </c>
      <c r="Y67" s="43">
        <f t="shared" ref="Y67:Y130" si="25">IF(NOT(ISNUMBER(P67)),"",P67-P67*G67-IF(P67&lt;79,H67,I67)-P67*$K$2-B67)</f>
        <v>25.53666666666664</v>
      </c>
      <c r="Z67" s="43">
        <f t="shared" ref="Z67:Z130" si="26">IF(NOT(ISNUMBER(P67)),"",P67)</f>
        <v>127.68333333333331</v>
      </c>
      <c r="AA67" s="44" t="str">
        <f t="shared" ref="AA67:AA130" si="27">IF(NOT(ISNUMBER(B67)),"Sem custo",IF(NOT(ISNUMBER(P67)),"",IF(AND(P67&gt;=79,I67=0),"⚠ Subiu p/ frete (I=0)",IF(ABS(P67-78.99)&lt;0.01,"Forçado &lt;79 (evita frete)",IF(AND(P67&gt;=79,Q67&lt;$Q$2-0.001),"Subiu p/ frete (min R2)",IF(Q67&lt;$R$2-0.001,"⚠ Margem abaixo do mínimo","OK"))))))</f>
        <v>OK</v>
      </c>
    </row>
    <row r="68" spans="1:27" s="28" customFormat="1" ht="15" customHeight="1" x14ac:dyDescent="0.25">
      <c r="A68" s="24" t="s">
        <v>112</v>
      </c>
      <c r="B68" s="40">
        <v>62.46</v>
      </c>
      <c r="C68" s="24" t="s">
        <v>114</v>
      </c>
      <c r="D68" s="40">
        <v>99.9</v>
      </c>
      <c r="E68" s="26"/>
      <c r="F68" s="25">
        <f>D68*G68</f>
        <v>16.983000000000001</v>
      </c>
      <c r="G68" s="27">
        <v>0.17</v>
      </c>
      <c r="H68" s="40">
        <v>0</v>
      </c>
      <c r="I68" s="40">
        <v>14.15</v>
      </c>
      <c r="J68" s="25">
        <f t="shared" si="14"/>
        <v>68.766999999999996</v>
      </c>
      <c r="K68" s="25"/>
      <c r="L68" s="27">
        <f t="shared" si="15"/>
        <v>0.08</v>
      </c>
      <c r="M68" s="25">
        <f t="shared" si="16"/>
        <v>7.9920000000000009</v>
      </c>
      <c r="N68" s="25">
        <f t="shared" si="17"/>
        <v>-1.6850000000000058</v>
      </c>
      <c r="O68" s="27">
        <f t="shared" si="18"/>
        <v>-1.6866866866866923E-2</v>
      </c>
      <c r="P68" s="29">
        <f t="shared" si="19"/>
        <v>139.29090909090908</v>
      </c>
      <c r="Q68" s="41">
        <f t="shared" si="20"/>
        <v>0.19999999999999987</v>
      </c>
      <c r="T68" s="42"/>
      <c r="U68" s="16">
        <f t="shared" si="21"/>
        <v>167.14909090909089</v>
      </c>
      <c r="V68" s="41">
        <f t="shared" si="22"/>
        <v>0.16666666666666663</v>
      </c>
      <c r="W68" s="17">
        <f t="shared" si="23"/>
        <v>0.29166666666666657</v>
      </c>
      <c r="X68" s="41">
        <f t="shared" si="24"/>
        <v>0.19999999999999987</v>
      </c>
      <c r="Y68" s="43">
        <f t="shared" si="25"/>
        <v>27.858181818181798</v>
      </c>
      <c r="Z68" s="43">
        <f t="shared" si="26"/>
        <v>139.29090909090908</v>
      </c>
      <c r="AA68" s="44" t="str">
        <f t="shared" si="27"/>
        <v>OK</v>
      </c>
    </row>
    <row r="69" spans="1:27" ht="15" customHeight="1" x14ac:dyDescent="0.25">
      <c r="A69" s="12" t="s">
        <v>104</v>
      </c>
      <c r="B69" s="40">
        <v>11.75</v>
      </c>
      <c r="C69" s="12" t="s">
        <v>115</v>
      </c>
      <c r="D69" s="40">
        <v>31.9</v>
      </c>
      <c r="E69" s="14"/>
      <c r="F69" s="13">
        <f>D69*G69</f>
        <v>5.2634999999999996</v>
      </c>
      <c r="G69" s="15">
        <v>0.16500000000000001</v>
      </c>
      <c r="H69" s="40">
        <v>6.75</v>
      </c>
      <c r="I69" s="40">
        <v>0</v>
      </c>
      <c r="J69" s="13">
        <f t="shared" si="14"/>
        <v>19.886499999999998</v>
      </c>
      <c r="K69" s="13"/>
      <c r="L69" s="15">
        <f t="shared" si="15"/>
        <v>0.08</v>
      </c>
      <c r="M69" s="13">
        <f t="shared" si="16"/>
        <v>2.552</v>
      </c>
      <c r="N69" s="13">
        <f t="shared" si="17"/>
        <v>5.5844999999999985</v>
      </c>
      <c r="O69" s="15">
        <f t="shared" si="18"/>
        <v>0.17506269592476484</v>
      </c>
      <c r="P69" s="16">
        <f t="shared" si="19"/>
        <v>33.333333333333336</v>
      </c>
      <c r="Q69" s="41">
        <f t="shared" si="20"/>
        <v>0.2</v>
      </c>
      <c r="T69" s="42"/>
      <c r="U69" s="16">
        <f t="shared" si="21"/>
        <v>40</v>
      </c>
      <c r="V69" s="41">
        <f t="shared" si="22"/>
        <v>0.16666666666666663</v>
      </c>
      <c r="W69" s="17">
        <f t="shared" si="23"/>
        <v>0.29249999999999998</v>
      </c>
      <c r="X69" s="41">
        <f t="shared" si="24"/>
        <v>0.2</v>
      </c>
      <c r="Y69" s="43">
        <f t="shared" si="25"/>
        <v>6.6666666666666679</v>
      </c>
      <c r="Z69" s="43">
        <f t="shared" si="26"/>
        <v>33.333333333333336</v>
      </c>
      <c r="AA69" s="44" t="str">
        <f t="shared" si="27"/>
        <v>OK</v>
      </c>
    </row>
    <row r="70" spans="1:27" ht="15" customHeight="1" x14ac:dyDescent="0.25">
      <c r="A70" s="12" t="s">
        <v>27</v>
      </c>
      <c r="B70" s="40">
        <v>40.200000000000003</v>
      </c>
      <c r="C70" s="12" t="s">
        <v>116</v>
      </c>
      <c r="D70" s="40">
        <v>78.98</v>
      </c>
      <c r="E70" s="14"/>
      <c r="F70" s="13">
        <f>D70*G70</f>
        <v>13.031700000000001</v>
      </c>
      <c r="G70" s="15">
        <v>0.16500000000000001</v>
      </c>
      <c r="H70" s="40">
        <v>7.75</v>
      </c>
      <c r="I70" s="40">
        <v>0</v>
      </c>
      <c r="J70" s="13">
        <f t="shared" si="14"/>
        <v>58.198300000000003</v>
      </c>
      <c r="K70" s="13"/>
      <c r="L70" s="15">
        <f t="shared" si="15"/>
        <v>0.08</v>
      </c>
      <c r="M70" s="13">
        <f t="shared" si="16"/>
        <v>6.3184000000000005</v>
      </c>
      <c r="N70" s="13">
        <f t="shared" si="17"/>
        <v>11.6799</v>
      </c>
      <c r="O70" s="15">
        <f t="shared" si="18"/>
        <v>0.14788427449987337</v>
      </c>
      <c r="P70" s="16">
        <f t="shared" si="19"/>
        <v>79</v>
      </c>
      <c r="Q70" s="41">
        <f t="shared" si="20"/>
        <v>0.24613924050632913</v>
      </c>
      <c r="T70" s="42"/>
      <c r="U70" s="16">
        <f t="shared" si="21"/>
        <v>94.8</v>
      </c>
      <c r="V70" s="41">
        <f t="shared" si="22"/>
        <v>0.16666666666666663</v>
      </c>
      <c r="W70" s="17">
        <f t="shared" si="23"/>
        <v>0.33094936708860756</v>
      </c>
      <c r="X70" s="41">
        <f t="shared" si="24"/>
        <v>0.24613924050632913</v>
      </c>
      <c r="Y70" s="43">
        <f t="shared" si="25"/>
        <v>19.445</v>
      </c>
      <c r="Z70" s="43">
        <f t="shared" si="26"/>
        <v>79</v>
      </c>
      <c r="AA70" s="44" t="str">
        <f t="shared" si="27"/>
        <v>⚠ Subiu p/ frete (I=0)</v>
      </c>
    </row>
    <row r="71" spans="1:27" ht="15" customHeight="1" x14ac:dyDescent="0.25">
      <c r="A71" s="12" t="s">
        <v>27</v>
      </c>
      <c r="B71" s="40">
        <v>40.200000000000003</v>
      </c>
      <c r="C71" s="12" t="s">
        <v>117</v>
      </c>
      <c r="D71" s="40">
        <v>75.900000000000006</v>
      </c>
      <c r="E71" s="13">
        <f>D71*G71</f>
        <v>8.7285000000000004</v>
      </c>
      <c r="F71" s="14"/>
      <c r="G71" s="15">
        <v>0.115</v>
      </c>
      <c r="H71" s="40">
        <v>7.75</v>
      </c>
      <c r="I71" s="40">
        <v>0</v>
      </c>
      <c r="J71" s="13">
        <f t="shared" si="14"/>
        <v>59.421500000000009</v>
      </c>
      <c r="K71" s="13"/>
      <c r="L71" s="15">
        <f t="shared" si="15"/>
        <v>0.08</v>
      </c>
      <c r="M71" s="13">
        <f t="shared" si="16"/>
        <v>6.072000000000001</v>
      </c>
      <c r="N71" s="13">
        <f t="shared" si="17"/>
        <v>13.149500000000005</v>
      </c>
      <c r="O71" s="15">
        <f t="shared" si="18"/>
        <v>0.1732476943346509</v>
      </c>
      <c r="P71" s="16">
        <f t="shared" si="19"/>
        <v>78.989999999999995</v>
      </c>
      <c r="Q71" s="41">
        <f t="shared" si="20"/>
        <v>0.19796113432080001</v>
      </c>
      <c r="T71" s="42"/>
      <c r="U71" s="16">
        <f t="shared" si="21"/>
        <v>94.787999999999997</v>
      </c>
      <c r="V71" s="41">
        <f t="shared" si="22"/>
        <v>0.16666666666666674</v>
      </c>
      <c r="W71" s="17">
        <f t="shared" si="23"/>
        <v>0.38089568299784776</v>
      </c>
      <c r="X71" s="41">
        <f t="shared" si="24"/>
        <v>0.19796113432080001</v>
      </c>
      <c r="Y71" s="43">
        <f t="shared" si="25"/>
        <v>15.636949999999992</v>
      </c>
      <c r="Z71" s="43">
        <f t="shared" si="26"/>
        <v>78.989999999999995</v>
      </c>
      <c r="AA71" s="44" t="str">
        <f t="shared" si="27"/>
        <v>Forçado &lt;79 (evita frete)</v>
      </c>
    </row>
    <row r="72" spans="1:27" ht="15" customHeight="1" x14ac:dyDescent="0.25">
      <c r="A72" s="12" t="s">
        <v>118</v>
      </c>
      <c r="B72" s="40">
        <v>42.36</v>
      </c>
      <c r="C72" s="12" t="s">
        <v>119</v>
      </c>
      <c r="D72" s="40">
        <v>78.900000000000006</v>
      </c>
      <c r="E72" s="13">
        <f>D72*G72</f>
        <v>9.073500000000001</v>
      </c>
      <c r="F72" s="14"/>
      <c r="G72" s="15">
        <v>0.115</v>
      </c>
      <c r="H72" s="40">
        <v>7.95</v>
      </c>
      <c r="I72" s="40">
        <v>0</v>
      </c>
      <c r="J72" s="13">
        <f t="shared" si="14"/>
        <v>61.876500000000007</v>
      </c>
      <c r="K72" s="13"/>
      <c r="L72" s="15">
        <f t="shared" si="15"/>
        <v>0.08</v>
      </c>
      <c r="M72" s="13">
        <f t="shared" si="16"/>
        <v>6.3120000000000003</v>
      </c>
      <c r="N72" s="13">
        <f t="shared" si="17"/>
        <v>13.204500000000007</v>
      </c>
      <c r="O72" s="15">
        <f t="shared" si="18"/>
        <v>0.16735741444866928</v>
      </c>
      <c r="P72" s="16">
        <f t="shared" si="19"/>
        <v>78.989999999999995</v>
      </c>
      <c r="Q72" s="41">
        <f t="shared" si="20"/>
        <v>0.16808393467527527</v>
      </c>
      <c r="T72" s="42"/>
      <c r="U72" s="16">
        <f t="shared" si="21"/>
        <v>94.787999999999997</v>
      </c>
      <c r="V72" s="41">
        <f t="shared" si="22"/>
        <v>0.16666666666666674</v>
      </c>
      <c r="W72" s="17">
        <f t="shared" si="23"/>
        <v>0.35810798835295604</v>
      </c>
      <c r="X72" s="41">
        <f t="shared" si="24"/>
        <v>0.16808393467527527</v>
      </c>
      <c r="Y72" s="43">
        <f t="shared" si="25"/>
        <v>13.276949999999992</v>
      </c>
      <c r="Z72" s="43">
        <f t="shared" si="26"/>
        <v>78.989999999999995</v>
      </c>
      <c r="AA72" s="44" t="str">
        <f t="shared" si="27"/>
        <v>Forçado &lt;79 (evita frete)</v>
      </c>
    </row>
    <row r="73" spans="1:27" ht="15" customHeight="1" x14ac:dyDescent="0.25">
      <c r="A73" s="12" t="s">
        <v>120</v>
      </c>
      <c r="B73" s="40">
        <v>7.42</v>
      </c>
      <c r="C73" s="12" t="s">
        <v>121</v>
      </c>
      <c r="D73" s="40">
        <v>26.9</v>
      </c>
      <c r="E73" s="13">
        <f>D73*G73</f>
        <v>3.0935000000000001</v>
      </c>
      <c r="F73" s="14"/>
      <c r="G73" s="15">
        <v>0.115</v>
      </c>
      <c r="H73" s="40">
        <v>6.85</v>
      </c>
      <c r="I73" s="40">
        <v>0</v>
      </c>
      <c r="J73" s="13">
        <f t="shared" si="14"/>
        <v>16.956499999999998</v>
      </c>
      <c r="K73" s="13"/>
      <c r="L73" s="15">
        <f t="shared" si="15"/>
        <v>0.08</v>
      </c>
      <c r="M73" s="13">
        <f t="shared" si="16"/>
        <v>2.1520000000000001</v>
      </c>
      <c r="N73" s="13">
        <f t="shared" si="17"/>
        <v>7.3844999999999983</v>
      </c>
      <c r="O73" s="15">
        <f t="shared" si="18"/>
        <v>0.27451672862453524</v>
      </c>
      <c r="P73" s="16">
        <f t="shared" si="19"/>
        <v>23.58677685950413</v>
      </c>
      <c r="Q73" s="41">
        <f t="shared" si="20"/>
        <v>0.2</v>
      </c>
      <c r="T73" s="42"/>
      <c r="U73" s="16">
        <f t="shared" si="21"/>
        <v>28.304132231404957</v>
      </c>
      <c r="V73" s="41">
        <f t="shared" si="22"/>
        <v>0.16666666666666663</v>
      </c>
      <c r="W73" s="17">
        <f t="shared" si="23"/>
        <v>0.30083333333333329</v>
      </c>
      <c r="X73" s="41">
        <f t="shared" si="24"/>
        <v>0.2</v>
      </c>
      <c r="Y73" s="43">
        <f t="shared" si="25"/>
        <v>4.7173553719008261</v>
      </c>
      <c r="Z73" s="43">
        <f t="shared" si="26"/>
        <v>23.58677685950413</v>
      </c>
      <c r="AA73" s="44" t="str">
        <f t="shared" si="27"/>
        <v>OK</v>
      </c>
    </row>
    <row r="74" spans="1:27" ht="15" customHeight="1" x14ac:dyDescent="0.25">
      <c r="A74" s="12" t="s">
        <v>122</v>
      </c>
      <c r="B74" s="40">
        <v>22.78</v>
      </c>
      <c r="C74" s="12" t="s">
        <v>123</v>
      </c>
      <c r="D74" s="40">
        <v>52.98</v>
      </c>
      <c r="E74" s="13">
        <f>D74*G74</f>
        <v>6.0926999999999998</v>
      </c>
      <c r="F74" s="14"/>
      <c r="G74" s="15">
        <v>0.115</v>
      </c>
      <c r="H74" s="40">
        <v>8.5500000000000007</v>
      </c>
      <c r="I74" s="40">
        <v>0</v>
      </c>
      <c r="J74" s="13">
        <f t="shared" si="14"/>
        <v>38.337299999999999</v>
      </c>
      <c r="K74" s="13"/>
      <c r="L74" s="15">
        <f t="shared" si="15"/>
        <v>0.08</v>
      </c>
      <c r="M74" s="13">
        <f t="shared" si="16"/>
        <v>4.2383999999999995</v>
      </c>
      <c r="N74" s="13">
        <f t="shared" si="17"/>
        <v>11.318899999999999</v>
      </c>
      <c r="O74" s="15">
        <f t="shared" si="18"/>
        <v>0.21364477161192902</v>
      </c>
      <c r="P74" s="16">
        <f t="shared" si="19"/>
        <v>51.785123966942152</v>
      </c>
      <c r="Q74" s="41">
        <f t="shared" si="20"/>
        <v>0.19999999999999993</v>
      </c>
      <c r="T74" s="42"/>
      <c r="U74" s="16">
        <f t="shared" si="21"/>
        <v>62.142148760330578</v>
      </c>
      <c r="V74" s="41">
        <f t="shared" si="22"/>
        <v>0.16666666666666663</v>
      </c>
      <c r="W74" s="17">
        <f t="shared" si="23"/>
        <v>0.30083333333333317</v>
      </c>
      <c r="X74" s="41">
        <f t="shared" si="24"/>
        <v>0.19999999999999993</v>
      </c>
      <c r="Y74" s="43">
        <f t="shared" si="25"/>
        <v>10.357024793388426</v>
      </c>
      <c r="Z74" s="43">
        <f t="shared" si="26"/>
        <v>51.785123966942152</v>
      </c>
      <c r="AA74" s="44" t="str">
        <f t="shared" si="27"/>
        <v>OK</v>
      </c>
    </row>
    <row r="75" spans="1:27" ht="15" customHeight="1" x14ac:dyDescent="0.25">
      <c r="A75" s="12" t="s">
        <v>124</v>
      </c>
      <c r="B75" s="40">
        <v>13.14</v>
      </c>
      <c r="C75" s="12" t="s">
        <v>125</v>
      </c>
      <c r="D75" s="40">
        <v>42</v>
      </c>
      <c r="E75" s="13">
        <f>D75*G75</f>
        <v>4.83</v>
      </c>
      <c r="F75" s="14"/>
      <c r="G75" s="15">
        <v>0.115</v>
      </c>
      <c r="H75" s="40">
        <v>7.95</v>
      </c>
      <c r="I75" s="40">
        <v>0</v>
      </c>
      <c r="J75" s="13">
        <f t="shared" si="14"/>
        <v>29.220000000000002</v>
      </c>
      <c r="K75" s="13"/>
      <c r="L75" s="15">
        <f t="shared" si="15"/>
        <v>0.08</v>
      </c>
      <c r="M75" s="13">
        <f t="shared" si="16"/>
        <v>3.36</v>
      </c>
      <c r="N75" s="13">
        <f t="shared" si="17"/>
        <v>12.720000000000002</v>
      </c>
      <c r="O75" s="15">
        <f t="shared" si="18"/>
        <v>0.30285714285714294</v>
      </c>
      <c r="P75" s="16">
        <f t="shared" si="19"/>
        <v>34.859504132231407</v>
      </c>
      <c r="Q75" s="41">
        <f t="shared" si="20"/>
        <v>0.20000000000000007</v>
      </c>
      <c r="T75" s="42"/>
      <c r="U75" s="16">
        <f t="shared" si="21"/>
        <v>41.831404958677687</v>
      </c>
      <c r="V75" s="41">
        <f t="shared" si="22"/>
        <v>0.16666666666666663</v>
      </c>
      <c r="W75" s="17">
        <f t="shared" si="23"/>
        <v>0.30083333333333329</v>
      </c>
      <c r="X75" s="41">
        <f t="shared" si="24"/>
        <v>0.20000000000000007</v>
      </c>
      <c r="Y75" s="43">
        <f t="shared" si="25"/>
        <v>6.9719008264462836</v>
      </c>
      <c r="Z75" s="43">
        <f t="shared" si="26"/>
        <v>34.859504132231407</v>
      </c>
      <c r="AA75" s="44" t="str">
        <f t="shared" si="27"/>
        <v>OK</v>
      </c>
    </row>
    <row r="76" spans="1:27" ht="15" customHeight="1" x14ac:dyDescent="0.25">
      <c r="A76" s="12" t="s">
        <v>118</v>
      </c>
      <c r="B76" s="40">
        <v>42.36</v>
      </c>
      <c r="C76" s="12" t="s">
        <v>126</v>
      </c>
      <c r="D76" s="40">
        <v>112.9</v>
      </c>
      <c r="E76" s="14"/>
      <c r="F76" s="13">
        <f>D76*G76</f>
        <v>18.628500000000003</v>
      </c>
      <c r="G76" s="15">
        <v>0.16500000000000001</v>
      </c>
      <c r="H76" s="40">
        <v>7.75</v>
      </c>
      <c r="I76" s="40">
        <v>16.149999999999999</v>
      </c>
      <c r="J76" s="13">
        <f t="shared" si="14"/>
        <v>78.121499999999997</v>
      </c>
      <c r="K76" s="13"/>
      <c r="L76" s="15">
        <f t="shared" si="15"/>
        <v>0.08</v>
      </c>
      <c r="M76" s="13">
        <f t="shared" si="16"/>
        <v>9.032</v>
      </c>
      <c r="N76" s="13">
        <f t="shared" si="17"/>
        <v>26.729499999999998</v>
      </c>
      <c r="O76" s="15">
        <f t="shared" si="18"/>
        <v>0.23675376439326834</v>
      </c>
      <c r="P76" s="16">
        <f t="shared" si="19"/>
        <v>105.42342342342343</v>
      </c>
      <c r="Q76" s="41">
        <f t="shared" si="20"/>
        <v>0.1999999999999999</v>
      </c>
      <c r="T76" s="42"/>
      <c r="U76" s="16">
        <f t="shared" si="21"/>
        <v>126.5081081081081</v>
      </c>
      <c r="V76" s="41">
        <f t="shared" si="22"/>
        <v>0.16666666666666663</v>
      </c>
      <c r="W76" s="17">
        <f t="shared" si="23"/>
        <v>0.29249999999999987</v>
      </c>
      <c r="X76" s="41">
        <f t="shared" si="24"/>
        <v>0.1999999999999999</v>
      </c>
      <c r="Y76" s="43">
        <f t="shared" si="25"/>
        <v>21.084684684684674</v>
      </c>
      <c r="Z76" s="43">
        <f t="shared" si="26"/>
        <v>105.42342342342343</v>
      </c>
      <c r="AA76" s="44" t="str">
        <f t="shared" si="27"/>
        <v>OK</v>
      </c>
    </row>
    <row r="77" spans="1:27" ht="15" customHeight="1" x14ac:dyDescent="0.25">
      <c r="A77" s="12" t="s">
        <v>92</v>
      </c>
      <c r="B77" s="45" t="s">
        <v>32</v>
      </c>
      <c r="C77" s="12" t="s">
        <v>127</v>
      </c>
      <c r="D77" s="40">
        <v>23</v>
      </c>
      <c r="E77" s="13">
        <f t="shared" ref="E77:E86" si="28">D77*G77</f>
        <v>2.645</v>
      </c>
      <c r="F77" s="14"/>
      <c r="G77" s="15">
        <v>0.115</v>
      </c>
      <c r="H77" s="40">
        <v>6.75</v>
      </c>
      <c r="I77" s="40">
        <v>0</v>
      </c>
      <c r="J77" s="13">
        <f t="shared" si="14"/>
        <v>13.605</v>
      </c>
      <c r="K77" s="14"/>
      <c r="L77" s="15">
        <f t="shared" si="15"/>
        <v>0.08</v>
      </c>
      <c r="M77" s="13">
        <f t="shared" si="16"/>
        <v>1.84</v>
      </c>
      <c r="N77" s="13">
        <f t="shared" si="17"/>
        <v>11.765000000000001</v>
      </c>
      <c r="O77" s="15">
        <f t="shared" si="18"/>
        <v>0.51152173913043486</v>
      </c>
      <c r="P77" s="16" t="str">
        <f t="shared" si="19"/>
        <v/>
      </c>
      <c r="Q77" s="41" t="str">
        <f t="shared" si="20"/>
        <v/>
      </c>
      <c r="T77" s="42"/>
      <c r="U77" s="16" t="str">
        <f t="shared" si="21"/>
        <v/>
      </c>
      <c r="V77" s="41" t="str">
        <f t="shared" si="22"/>
        <v/>
      </c>
      <c r="W77" s="17" t="str">
        <f t="shared" si="23"/>
        <v/>
      </c>
      <c r="X77" s="41" t="str">
        <f t="shared" si="24"/>
        <v/>
      </c>
      <c r="Y77" s="43" t="str">
        <f t="shared" si="25"/>
        <v/>
      </c>
      <c r="Z77" s="43" t="str">
        <f t="shared" si="26"/>
        <v/>
      </c>
      <c r="AA77" s="44" t="str">
        <f t="shared" si="27"/>
        <v>Sem custo</v>
      </c>
    </row>
    <row r="78" spans="1:27" ht="15" customHeight="1" x14ac:dyDescent="0.25">
      <c r="A78" s="12" t="s">
        <v>128</v>
      </c>
      <c r="B78" s="40">
        <v>6.12</v>
      </c>
      <c r="C78" s="12" t="s">
        <v>129</v>
      </c>
      <c r="D78" s="40">
        <v>19.899999999999999</v>
      </c>
      <c r="E78" s="13">
        <f t="shared" si="28"/>
        <v>2.2885</v>
      </c>
      <c r="F78" s="14"/>
      <c r="G78" s="15">
        <v>0.115</v>
      </c>
      <c r="H78" s="40">
        <v>6.55</v>
      </c>
      <c r="I78" s="40">
        <v>0</v>
      </c>
      <c r="J78" s="13">
        <f t="shared" si="14"/>
        <v>11.061499999999999</v>
      </c>
      <c r="K78" s="13"/>
      <c r="L78" s="15">
        <f t="shared" si="15"/>
        <v>0.08</v>
      </c>
      <c r="M78" s="13">
        <f t="shared" si="16"/>
        <v>1.5919999999999999</v>
      </c>
      <c r="N78" s="13">
        <f t="shared" si="17"/>
        <v>3.349499999999999</v>
      </c>
      <c r="O78" s="15">
        <f t="shared" si="18"/>
        <v>0.16831658291457283</v>
      </c>
      <c r="P78" s="16">
        <f t="shared" si="19"/>
        <v>20.942148760330578</v>
      </c>
      <c r="Q78" s="41">
        <f t="shared" si="20"/>
        <v>0.20000000000000004</v>
      </c>
      <c r="T78" s="42"/>
      <c r="U78" s="16">
        <f t="shared" si="21"/>
        <v>25.130578512396692</v>
      </c>
      <c r="V78" s="41">
        <f t="shared" si="22"/>
        <v>0.16666666666666663</v>
      </c>
      <c r="W78" s="17">
        <f t="shared" si="23"/>
        <v>0.30083333333333317</v>
      </c>
      <c r="X78" s="41">
        <f t="shared" si="24"/>
        <v>0.20000000000000004</v>
      </c>
      <c r="Y78" s="43">
        <f t="shared" si="25"/>
        <v>4.1884297520661162</v>
      </c>
      <c r="Z78" s="43">
        <f t="shared" si="26"/>
        <v>20.942148760330578</v>
      </c>
      <c r="AA78" s="44" t="str">
        <f t="shared" si="27"/>
        <v>OK</v>
      </c>
    </row>
    <row r="79" spans="1:27" ht="15" customHeight="1" x14ac:dyDescent="0.25">
      <c r="A79" s="12" t="s">
        <v>130</v>
      </c>
      <c r="B79" s="40">
        <v>3.21</v>
      </c>
      <c r="C79" s="12" t="s">
        <v>131</v>
      </c>
      <c r="D79" s="40">
        <v>19.899999999999999</v>
      </c>
      <c r="E79" s="13">
        <f t="shared" si="28"/>
        <v>2.2885</v>
      </c>
      <c r="F79" s="14"/>
      <c r="G79" s="15">
        <v>0.115</v>
      </c>
      <c r="H79" s="40">
        <v>6.75</v>
      </c>
      <c r="I79" s="40">
        <v>0</v>
      </c>
      <c r="J79" s="13">
        <f t="shared" si="14"/>
        <v>10.861499999999999</v>
      </c>
      <c r="K79" s="13"/>
      <c r="L79" s="15">
        <f t="shared" si="15"/>
        <v>0.08</v>
      </c>
      <c r="M79" s="13">
        <f t="shared" si="16"/>
        <v>1.5919999999999999</v>
      </c>
      <c r="N79" s="13">
        <f t="shared" si="17"/>
        <v>6.0594999999999999</v>
      </c>
      <c r="O79" s="15">
        <f t="shared" si="18"/>
        <v>0.30449748743718597</v>
      </c>
      <c r="P79" s="16">
        <f t="shared" si="19"/>
        <v>16.462809917355372</v>
      </c>
      <c r="Q79" s="41">
        <f t="shared" si="20"/>
        <v>0.2</v>
      </c>
      <c r="T79" s="42"/>
      <c r="U79" s="16">
        <f t="shared" si="21"/>
        <v>19.755371900826447</v>
      </c>
      <c r="V79" s="41">
        <f t="shared" si="22"/>
        <v>0.16666666666666663</v>
      </c>
      <c r="W79" s="17">
        <f t="shared" si="23"/>
        <v>0.30083333333333334</v>
      </c>
      <c r="X79" s="41">
        <f t="shared" si="24"/>
        <v>0.2</v>
      </c>
      <c r="Y79" s="43">
        <f t="shared" si="25"/>
        <v>3.2925619834710744</v>
      </c>
      <c r="Z79" s="43">
        <f t="shared" si="26"/>
        <v>16.462809917355372</v>
      </c>
      <c r="AA79" s="44" t="str">
        <f t="shared" si="27"/>
        <v>OK</v>
      </c>
    </row>
    <row r="80" spans="1:27" ht="15" customHeight="1" x14ac:dyDescent="0.25">
      <c r="A80" s="12" t="s">
        <v>130</v>
      </c>
      <c r="B80" s="40">
        <v>3.21</v>
      </c>
      <c r="C80" s="12" t="s">
        <v>132</v>
      </c>
      <c r="D80" s="40">
        <v>19.899999999999999</v>
      </c>
      <c r="E80" s="13">
        <f t="shared" si="28"/>
        <v>2.2885</v>
      </c>
      <c r="F80" s="14"/>
      <c r="G80" s="15">
        <v>0.115</v>
      </c>
      <c r="H80" s="40">
        <v>6.75</v>
      </c>
      <c r="I80" s="40">
        <v>0</v>
      </c>
      <c r="J80" s="13">
        <f t="shared" si="14"/>
        <v>10.861499999999999</v>
      </c>
      <c r="K80" s="13"/>
      <c r="L80" s="15">
        <f t="shared" si="15"/>
        <v>0.08</v>
      </c>
      <c r="M80" s="13">
        <f t="shared" si="16"/>
        <v>1.5919999999999999</v>
      </c>
      <c r="N80" s="13">
        <f t="shared" si="17"/>
        <v>6.0594999999999999</v>
      </c>
      <c r="O80" s="15">
        <f t="shared" si="18"/>
        <v>0.30449748743718597</v>
      </c>
      <c r="P80" s="16">
        <f t="shared" si="19"/>
        <v>16.462809917355372</v>
      </c>
      <c r="Q80" s="41">
        <f t="shared" si="20"/>
        <v>0.2</v>
      </c>
      <c r="T80" s="42"/>
      <c r="U80" s="16">
        <f t="shared" si="21"/>
        <v>19.755371900826447</v>
      </c>
      <c r="V80" s="41">
        <f t="shared" si="22"/>
        <v>0.16666666666666663</v>
      </c>
      <c r="W80" s="17">
        <f t="shared" si="23"/>
        <v>0.30083333333333334</v>
      </c>
      <c r="X80" s="41">
        <f t="shared" si="24"/>
        <v>0.2</v>
      </c>
      <c r="Y80" s="43">
        <f t="shared" si="25"/>
        <v>3.2925619834710744</v>
      </c>
      <c r="Z80" s="43">
        <f t="shared" si="26"/>
        <v>16.462809917355372</v>
      </c>
      <c r="AA80" s="44" t="str">
        <f t="shared" si="27"/>
        <v>OK</v>
      </c>
    </row>
    <row r="81" spans="1:27" ht="15" customHeight="1" x14ac:dyDescent="0.25">
      <c r="A81" s="12" t="s">
        <v>133</v>
      </c>
      <c r="B81" s="40">
        <v>8.26</v>
      </c>
      <c r="C81" s="12" t="s">
        <v>134</v>
      </c>
      <c r="D81" s="40">
        <v>26.99</v>
      </c>
      <c r="E81" s="13">
        <f t="shared" si="28"/>
        <v>3.10385</v>
      </c>
      <c r="F81" s="14"/>
      <c r="G81" s="15">
        <v>0.115</v>
      </c>
      <c r="H81" s="40">
        <v>7.75</v>
      </c>
      <c r="I81" s="40">
        <v>0</v>
      </c>
      <c r="J81" s="13">
        <f t="shared" si="14"/>
        <v>16.136149999999997</v>
      </c>
      <c r="K81" s="13"/>
      <c r="L81" s="15">
        <f t="shared" si="15"/>
        <v>0.08</v>
      </c>
      <c r="M81" s="13">
        <f t="shared" si="16"/>
        <v>2.1591999999999998</v>
      </c>
      <c r="N81" s="13">
        <f t="shared" si="17"/>
        <v>5.7169499999999971</v>
      </c>
      <c r="O81" s="15">
        <f t="shared" si="18"/>
        <v>0.21181733975546488</v>
      </c>
      <c r="P81" s="16">
        <f t="shared" si="19"/>
        <v>26.462809917355369</v>
      </c>
      <c r="Q81" s="41">
        <f t="shared" si="20"/>
        <v>0.1999999999999999</v>
      </c>
      <c r="T81" s="42"/>
      <c r="U81" s="16">
        <f t="shared" si="21"/>
        <v>31.755371900826439</v>
      </c>
      <c r="V81" s="41">
        <f t="shared" si="22"/>
        <v>0.16666666666666663</v>
      </c>
      <c r="W81" s="17">
        <f t="shared" si="23"/>
        <v>0.30083333333333329</v>
      </c>
      <c r="X81" s="41">
        <f t="shared" si="24"/>
        <v>0.1999999999999999</v>
      </c>
      <c r="Y81" s="43">
        <f t="shared" si="25"/>
        <v>5.2925619834710709</v>
      </c>
      <c r="Z81" s="43">
        <f t="shared" si="26"/>
        <v>26.462809917355369</v>
      </c>
      <c r="AA81" s="44" t="str">
        <f t="shared" si="27"/>
        <v>OK</v>
      </c>
    </row>
    <row r="82" spans="1:27" ht="15" customHeight="1" x14ac:dyDescent="0.25">
      <c r="A82" s="12" t="s">
        <v>135</v>
      </c>
      <c r="B82" s="40">
        <v>28.71</v>
      </c>
      <c r="C82" s="12" t="s">
        <v>136</v>
      </c>
      <c r="D82" s="40">
        <v>64.900000000000006</v>
      </c>
      <c r="E82" s="13">
        <f t="shared" si="28"/>
        <v>7.1390000000000002</v>
      </c>
      <c r="F82" s="14"/>
      <c r="G82" s="15">
        <v>0.11</v>
      </c>
      <c r="H82" s="40">
        <v>7.75</v>
      </c>
      <c r="I82" s="40">
        <v>0</v>
      </c>
      <c r="J82" s="13">
        <f t="shared" si="14"/>
        <v>50.011000000000003</v>
      </c>
      <c r="K82" s="13"/>
      <c r="L82" s="15">
        <f t="shared" si="15"/>
        <v>0.08</v>
      </c>
      <c r="M82" s="13">
        <f t="shared" si="16"/>
        <v>5.1920000000000002</v>
      </c>
      <c r="N82" s="13">
        <f t="shared" si="17"/>
        <v>16.109000000000002</v>
      </c>
      <c r="O82" s="15">
        <f t="shared" si="18"/>
        <v>0.24821263482280431</v>
      </c>
      <c r="P82" s="16">
        <f t="shared" si="19"/>
        <v>59.770491803278681</v>
      </c>
      <c r="Q82" s="41">
        <f t="shared" si="20"/>
        <v>0.19999999999999984</v>
      </c>
      <c r="T82" s="42"/>
      <c r="U82" s="16">
        <f t="shared" si="21"/>
        <v>71.724590163934408</v>
      </c>
      <c r="V82" s="41">
        <f t="shared" si="22"/>
        <v>0.16666666666666652</v>
      </c>
      <c r="W82" s="17">
        <f t="shared" si="23"/>
        <v>0.30166666666666658</v>
      </c>
      <c r="X82" s="41">
        <f t="shared" si="24"/>
        <v>0.19999999999999984</v>
      </c>
      <c r="Y82" s="43">
        <f t="shared" si="25"/>
        <v>11.954098360655728</v>
      </c>
      <c r="Z82" s="43">
        <f t="shared" si="26"/>
        <v>59.770491803278681</v>
      </c>
      <c r="AA82" s="44" t="str">
        <f t="shared" si="27"/>
        <v>OK</v>
      </c>
    </row>
    <row r="83" spans="1:27" ht="15" customHeight="1" x14ac:dyDescent="0.25">
      <c r="A83" s="12" t="s">
        <v>137</v>
      </c>
      <c r="B83" s="40">
        <v>28.71</v>
      </c>
      <c r="C83" s="12" t="s">
        <v>138</v>
      </c>
      <c r="D83" s="40">
        <v>59.9</v>
      </c>
      <c r="E83" s="13">
        <f t="shared" si="28"/>
        <v>6.5889999999999995</v>
      </c>
      <c r="F83" s="14"/>
      <c r="G83" s="15">
        <v>0.11</v>
      </c>
      <c r="H83" s="40">
        <v>6.65</v>
      </c>
      <c r="I83" s="40">
        <v>0</v>
      </c>
      <c r="J83" s="13">
        <f t="shared" si="14"/>
        <v>46.661000000000001</v>
      </c>
      <c r="K83" s="13"/>
      <c r="L83" s="15">
        <f t="shared" si="15"/>
        <v>0.08</v>
      </c>
      <c r="M83" s="13">
        <f t="shared" si="16"/>
        <v>4.7919999999999998</v>
      </c>
      <c r="N83" s="13">
        <f t="shared" si="17"/>
        <v>13.159000000000001</v>
      </c>
      <c r="O83" s="15">
        <f t="shared" si="18"/>
        <v>0.21968280467445744</v>
      </c>
      <c r="P83" s="16">
        <f t="shared" si="19"/>
        <v>57.967213114754088</v>
      </c>
      <c r="Q83" s="41">
        <f t="shared" si="20"/>
        <v>0.19999999999999987</v>
      </c>
      <c r="T83" s="42"/>
      <c r="U83" s="16">
        <f t="shared" si="21"/>
        <v>69.560655737704906</v>
      </c>
      <c r="V83" s="41">
        <f t="shared" si="22"/>
        <v>0.16666666666666663</v>
      </c>
      <c r="W83" s="17">
        <f t="shared" si="23"/>
        <v>0.30166666666666653</v>
      </c>
      <c r="X83" s="41">
        <f t="shared" si="24"/>
        <v>0.19999999999999987</v>
      </c>
      <c r="Y83" s="43">
        <f t="shared" si="25"/>
        <v>11.593442622950811</v>
      </c>
      <c r="Z83" s="43">
        <f t="shared" si="26"/>
        <v>57.967213114754088</v>
      </c>
      <c r="AA83" s="44" t="str">
        <f t="shared" si="27"/>
        <v>OK</v>
      </c>
    </row>
    <row r="84" spans="1:27" ht="15" customHeight="1" x14ac:dyDescent="0.25">
      <c r="A84" s="12" t="s">
        <v>139</v>
      </c>
      <c r="B84" s="40">
        <v>14.42</v>
      </c>
      <c r="C84" s="12" t="s">
        <v>140</v>
      </c>
      <c r="D84" s="40">
        <v>35.9</v>
      </c>
      <c r="E84" s="13">
        <f t="shared" si="28"/>
        <v>3.9489999999999998</v>
      </c>
      <c r="F84" s="14"/>
      <c r="G84" s="15">
        <v>0.11</v>
      </c>
      <c r="H84" s="40">
        <v>6.65</v>
      </c>
      <c r="I84" s="40">
        <v>0</v>
      </c>
      <c r="J84" s="13">
        <f t="shared" si="14"/>
        <v>25.301000000000002</v>
      </c>
      <c r="K84" s="13"/>
      <c r="L84" s="15">
        <f t="shared" si="15"/>
        <v>0.08</v>
      </c>
      <c r="M84" s="13">
        <f t="shared" si="16"/>
        <v>2.8719999999999999</v>
      </c>
      <c r="N84" s="13">
        <f t="shared" si="17"/>
        <v>8.0090000000000021</v>
      </c>
      <c r="O84" s="15">
        <f t="shared" si="18"/>
        <v>0.2230919220055711</v>
      </c>
      <c r="P84" s="16">
        <f t="shared" si="19"/>
        <v>34.540983606557369</v>
      </c>
      <c r="Q84" s="41">
        <f t="shared" si="20"/>
        <v>0.19999999999999982</v>
      </c>
      <c r="T84" s="42"/>
      <c r="U84" s="16">
        <f t="shared" si="21"/>
        <v>41.449180327868838</v>
      </c>
      <c r="V84" s="41">
        <f t="shared" si="22"/>
        <v>0.16666666666666663</v>
      </c>
      <c r="W84" s="17">
        <f t="shared" si="23"/>
        <v>0.30166666666666658</v>
      </c>
      <c r="X84" s="41">
        <f t="shared" si="24"/>
        <v>0.19999999999999982</v>
      </c>
      <c r="Y84" s="43">
        <f t="shared" si="25"/>
        <v>6.9081967213114677</v>
      </c>
      <c r="Z84" s="43">
        <f t="shared" si="26"/>
        <v>34.540983606557369</v>
      </c>
      <c r="AA84" s="44" t="str">
        <f t="shared" si="27"/>
        <v>OK</v>
      </c>
    </row>
    <row r="85" spans="1:27" ht="15" customHeight="1" x14ac:dyDescent="0.25">
      <c r="A85" s="12" t="s">
        <v>141</v>
      </c>
      <c r="B85" s="40">
        <v>14.42</v>
      </c>
      <c r="C85" s="12" t="s">
        <v>142</v>
      </c>
      <c r="D85" s="40">
        <v>36.9</v>
      </c>
      <c r="E85" s="13">
        <f t="shared" si="28"/>
        <v>4.0590000000000002</v>
      </c>
      <c r="F85" s="14"/>
      <c r="G85" s="15">
        <v>0.11</v>
      </c>
      <c r="H85" s="40">
        <v>6.75</v>
      </c>
      <c r="I85" s="40">
        <v>0</v>
      </c>
      <c r="J85" s="13">
        <f t="shared" si="14"/>
        <v>26.091000000000001</v>
      </c>
      <c r="K85" s="13"/>
      <c r="L85" s="15">
        <f t="shared" si="15"/>
        <v>0.08</v>
      </c>
      <c r="M85" s="13">
        <f t="shared" si="16"/>
        <v>2.952</v>
      </c>
      <c r="N85" s="13">
        <f t="shared" si="17"/>
        <v>8.7190000000000012</v>
      </c>
      <c r="O85" s="15">
        <f t="shared" si="18"/>
        <v>0.23628726287262877</v>
      </c>
      <c r="P85" s="16">
        <f t="shared" si="19"/>
        <v>34.704918032786885</v>
      </c>
      <c r="Q85" s="41">
        <f t="shared" si="20"/>
        <v>0.20000000000000007</v>
      </c>
      <c r="T85" s="42"/>
      <c r="U85" s="16">
        <f t="shared" si="21"/>
        <v>41.64590163934426</v>
      </c>
      <c r="V85" s="41">
        <f t="shared" si="22"/>
        <v>0.16666666666666663</v>
      </c>
      <c r="W85" s="17">
        <f t="shared" si="23"/>
        <v>0.30166666666666664</v>
      </c>
      <c r="X85" s="41">
        <f t="shared" si="24"/>
        <v>0.20000000000000007</v>
      </c>
      <c r="Y85" s="43">
        <f t="shared" si="25"/>
        <v>6.9409836065573796</v>
      </c>
      <c r="Z85" s="43">
        <f t="shared" si="26"/>
        <v>34.704918032786885</v>
      </c>
      <c r="AA85" s="44" t="str">
        <f t="shared" si="27"/>
        <v>OK</v>
      </c>
    </row>
    <row r="86" spans="1:27" ht="15" customHeight="1" x14ac:dyDescent="0.25">
      <c r="A86" s="12" t="s">
        <v>92</v>
      </c>
      <c r="B86" s="45" t="s">
        <v>32</v>
      </c>
      <c r="C86" s="12" t="s">
        <v>143</v>
      </c>
      <c r="D86" s="40">
        <v>43.9</v>
      </c>
      <c r="E86" s="13">
        <f t="shared" si="28"/>
        <v>4.8289999999999997</v>
      </c>
      <c r="F86" s="14"/>
      <c r="G86" s="15">
        <v>0.11</v>
      </c>
      <c r="H86" s="40">
        <v>0</v>
      </c>
      <c r="I86" s="40">
        <v>18.45</v>
      </c>
      <c r="J86" s="13">
        <f t="shared" si="14"/>
        <v>39.070999999999998</v>
      </c>
      <c r="K86" s="14"/>
      <c r="L86" s="15">
        <f t="shared" si="15"/>
        <v>0.08</v>
      </c>
      <c r="M86" s="13">
        <f t="shared" si="16"/>
        <v>3.512</v>
      </c>
      <c r="N86" s="13">
        <f t="shared" si="17"/>
        <v>35.558999999999997</v>
      </c>
      <c r="O86" s="15">
        <f t="shared" si="18"/>
        <v>0.80999999999999994</v>
      </c>
      <c r="P86" s="16" t="str">
        <f t="shared" si="19"/>
        <v/>
      </c>
      <c r="Q86" s="41" t="str">
        <f t="shared" si="20"/>
        <v/>
      </c>
      <c r="T86" s="42"/>
      <c r="U86" s="16" t="str">
        <f t="shared" si="21"/>
        <v/>
      </c>
      <c r="V86" s="41" t="str">
        <f t="shared" si="22"/>
        <v/>
      </c>
      <c r="W86" s="17" t="str">
        <f t="shared" si="23"/>
        <v/>
      </c>
      <c r="X86" s="41" t="str">
        <f t="shared" si="24"/>
        <v/>
      </c>
      <c r="Y86" s="43" t="str">
        <f t="shared" si="25"/>
        <v/>
      </c>
      <c r="Z86" s="43" t="str">
        <f t="shared" si="26"/>
        <v/>
      </c>
      <c r="AA86" s="44" t="str">
        <f t="shared" si="27"/>
        <v>Sem custo</v>
      </c>
    </row>
    <row r="87" spans="1:27" ht="15" customHeight="1" x14ac:dyDescent="0.25">
      <c r="A87" s="12" t="s">
        <v>144</v>
      </c>
      <c r="B87" s="40">
        <v>65.94</v>
      </c>
      <c r="C87" s="12" t="s">
        <v>145</v>
      </c>
      <c r="D87" s="40">
        <v>124.9</v>
      </c>
      <c r="E87" s="14"/>
      <c r="F87" s="13">
        <f>D87*G87</f>
        <v>22.481999999999999</v>
      </c>
      <c r="G87" s="15">
        <v>0.18</v>
      </c>
      <c r="H87" s="40">
        <v>0</v>
      </c>
      <c r="I87" s="40">
        <v>16.149999999999999</v>
      </c>
      <c r="J87" s="13">
        <f t="shared" si="14"/>
        <v>86.268000000000001</v>
      </c>
      <c r="K87" s="13"/>
      <c r="L87" s="15">
        <f t="shared" si="15"/>
        <v>0.08</v>
      </c>
      <c r="M87" s="13">
        <f t="shared" si="16"/>
        <v>9.9920000000000009</v>
      </c>
      <c r="N87" s="13">
        <f t="shared" si="17"/>
        <v>10.336000000000002</v>
      </c>
      <c r="O87" s="15">
        <f t="shared" si="18"/>
        <v>8.2754203362690168E-2</v>
      </c>
      <c r="P87" s="16">
        <f t="shared" si="19"/>
        <v>152.0185185185185</v>
      </c>
      <c r="Q87" s="41">
        <f t="shared" si="20"/>
        <v>0.20000000000000007</v>
      </c>
      <c r="T87" s="42"/>
      <c r="U87" s="16">
        <f t="shared" si="21"/>
        <v>182.42222222222219</v>
      </c>
      <c r="V87" s="41">
        <f t="shared" si="22"/>
        <v>0.16666666666666663</v>
      </c>
      <c r="W87" s="17">
        <f t="shared" si="23"/>
        <v>0.28999999999999998</v>
      </c>
      <c r="X87" s="41">
        <f t="shared" si="24"/>
        <v>0.20000000000000007</v>
      </c>
      <c r="Y87" s="43">
        <f t="shared" si="25"/>
        <v>30.403703703703712</v>
      </c>
      <c r="Z87" s="43">
        <f t="shared" si="26"/>
        <v>152.0185185185185</v>
      </c>
      <c r="AA87" s="44" t="str">
        <f t="shared" si="27"/>
        <v>OK</v>
      </c>
    </row>
    <row r="88" spans="1:27" ht="15" customHeight="1" x14ac:dyDescent="0.25">
      <c r="A88" s="12" t="s">
        <v>146</v>
      </c>
      <c r="B88" s="40">
        <v>65.94</v>
      </c>
      <c r="C88" s="12" t="s">
        <v>147</v>
      </c>
      <c r="D88" s="40">
        <v>117.65</v>
      </c>
      <c r="E88" s="13">
        <f>D88*G88</f>
        <v>15.294500000000001</v>
      </c>
      <c r="F88" s="14"/>
      <c r="G88" s="15">
        <v>0.13</v>
      </c>
      <c r="H88" s="40">
        <v>0</v>
      </c>
      <c r="I88" s="40">
        <v>21.15</v>
      </c>
      <c r="J88" s="13">
        <f t="shared" si="14"/>
        <v>81.205500000000001</v>
      </c>
      <c r="K88" s="13"/>
      <c r="L88" s="15">
        <f t="shared" si="15"/>
        <v>0.08</v>
      </c>
      <c r="M88" s="13">
        <f t="shared" si="16"/>
        <v>9.4120000000000008</v>
      </c>
      <c r="N88" s="13">
        <f t="shared" si="17"/>
        <v>5.8535000000000021</v>
      </c>
      <c r="O88" s="15">
        <f t="shared" si="18"/>
        <v>4.9753506162345959E-2</v>
      </c>
      <c r="P88" s="16">
        <f t="shared" si="19"/>
        <v>147.6101694915254</v>
      </c>
      <c r="Q88" s="41">
        <f t="shared" si="20"/>
        <v>0.19999999999999993</v>
      </c>
      <c r="T88" s="42"/>
      <c r="U88" s="16">
        <f t="shared" si="21"/>
        <v>177.13220338983047</v>
      </c>
      <c r="V88" s="41">
        <f t="shared" si="22"/>
        <v>0.16666666666666663</v>
      </c>
      <c r="W88" s="17">
        <f t="shared" si="23"/>
        <v>0.29833333333333328</v>
      </c>
      <c r="X88" s="41">
        <f t="shared" si="24"/>
        <v>0.19999999999999993</v>
      </c>
      <c r="Y88" s="43">
        <f t="shared" si="25"/>
        <v>29.522033898305068</v>
      </c>
      <c r="Z88" s="43">
        <f t="shared" si="26"/>
        <v>147.6101694915254</v>
      </c>
      <c r="AA88" s="44" t="str">
        <f t="shared" si="27"/>
        <v>OK</v>
      </c>
    </row>
    <row r="89" spans="1:27" ht="15" customHeight="1" x14ac:dyDescent="0.25">
      <c r="A89" s="12" t="s">
        <v>148</v>
      </c>
      <c r="B89" s="40">
        <v>57</v>
      </c>
      <c r="C89" s="12" t="s">
        <v>149</v>
      </c>
      <c r="D89" s="40">
        <v>159.9</v>
      </c>
      <c r="E89" s="14"/>
      <c r="F89" s="13">
        <f>D89*G89</f>
        <v>21.586500000000001</v>
      </c>
      <c r="G89" s="15">
        <v>0.13500000000000001</v>
      </c>
      <c r="H89" s="40">
        <v>0</v>
      </c>
      <c r="I89" s="40">
        <v>26.25</v>
      </c>
      <c r="J89" s="13">
        <f t="shared" si="14"/>
        <v>112.0635</v>
      </c>
      <c r="K89" s="13"/>
      <c r="L89" s="15">
        <f t="shared" si="15"/>
        <v>0.08</v>
      </c>
      <c r="M89" s="13">
        <f t="shared" si="16"/>
        <v>12.792000000000002</v>
      </c>
      <c r="N89" s="13">
        <f t="shared" si="17"/>
        <v>42.271500000000003</v>
      </c>
      <c r="O89" s="15">
        <f t="shared" si="18"/>
        <v>0.26436210131332083</v>
      </c>
      <c r="P89" s="16">
        <f t="shared" si="19"/>
        <v>142.30769230769232</v>
      </c>
      <c r="Q89" s="41">
        <f t="shared" si="20"/>
        <v>0.2</v>
      </c>
      <c r="T89" s="42"/>
      <c r="U89" s="16">
        <f t="shared" si="21"/>
        <v>170.76923076923077</v>
      </c>
      <c r="V89" s="41">
        <f t="shared" si="22"/>
        <v>0.16666666666666663</v>
      </c>
      <c r="W89" s="17">
        <f t="shared" si="23"/>
        <v>0.29749999999999988</v>
      </c>
      <c r="X89" s="41">
        <f t="shared" si="24"/>
        <v>0.2</v>
      </c>
      <c r="Y89" s="43">
        <f t="shared" si="25"/>
        <v>28.461538461538467</v>
      </c>
      <c r="Z89" s="43">
        <f t="shared" si="26"/>
        <v>142.30769230769232</v>
      </c>
      <c r="AA89" s="44" t="str">
        <f t="shared" si="27"/>
        <v>OK</v>
      </c>
    </row>
    <row r="90" spans="1:27" ht="15" customHeight="1" x14ac:dyDescent="0.25">
      <c r="A90" s="12" t="s">
        <v>150</v>
      </c>
      <c r="B90" s="40">
        <v>83</v>
      </c>
      <c r="C90" s="12" t="s">
        <v>151</v>
      </c>
      <c r="D90" s="40">
        <v>204.9</v>
      </c>
      <c r="E90" s="13">
        <f>D90*G90</f>
        <v>21.514499999999998</v>
      </c>
      <c r="F90" s="14"/>
      <c r="G90" s="15">
        <v>0.105</v>
      </c>
      <c r="H90" s="40">
        <v>0</v>
      </c>
      <c r="I90" s="40">
        <v>15.75</v>
      </c>
      <c r="J90" s="13">
        <f t="shared" si="14"/>
        <v>167.63550000000001</v>
      </c>
      <c r="K90" s="13"/>
      <c r="L90" s="15">
        <f t="shared" si="15"/>
        <v>0.08</v>
      </c>
      <c r="M90" s="13">
        <f t="shared" si="16"/>
        <v>16.391999999999999</v>
      </c>
      <c r="N90" s="13">
        <f t="shared" si="17"/>
        <v>68.243500000000012</v>
      </c>
      <c r="O90" s="15">
        <f t="shared" si="18"/>
        <v>0.333057589067838</v>
      </c>
      <c r="P90" s="16">
        <f t="shared" si="19"/>
        <v>160.5691056910569</v>
      </c>
      <c r="Q90" s="41">
        <f t="shared" si="20"/>
        <v>0.1999999999999999</v>
      </c>
      <c r="T90" s="42"/>
      <c r="U90" s="16">
        <f t="shared" si="21"/>
        <v>192.68292682926827</v>
      </c>
      <c r="V90" s="41">
        <f t="shared" si="22"/>
        <v>0.16666666666666663</v>
      </c>
      <c r="W90" s="17">
        <f t="shared" si="23"/>
        <v>0.30249999999999999</v>
      </c>
      <c r="X90" s="41">
        <f t="shared" si="24"/>
        <v>0.1999999999999999</v>
      </c>
      <c r="Y90" s="43">
        <f t="shared" si="25"/>
        <v>32.113821138211364</v>
      </c>
      <c r="Z90" s="43">
        <f t="shared" si="26"/>
        <v>160.5691056910569</v>
      </c>
      <c r="AA90" s="44" t="str">
        <f t="shared" si="27"/>
        <v>OK</v>
      </c>
    </row>
    <row r="91" spans="1:27" ht="15" customHeight="1" x14ac:dyDescent="0.25">
      <c r="A91" s="12" t="s">
        <v>152</v>
      </c>
      <c r="B91" s="40">
        <v>31</v>
      </c>
      <c r="C91" s="12" t="s">
        <v>153</v>
      </c>
      <c r="D91" s="40">
        <v>87.56</v>
      </c>
      <c r="E91" s="13">
        <f>D91*G91</f>
        <v>10.0694</v>
      </c>
      <c r="F91" s="14"/>
      <c r="G91" s="15">
        <v>0.115</v>
      </c>
      <c r="H91" s="40">
        <v>0</v>
      </c>
      <c r="I91" s="40">
        <v>23.65</v>
      </c>
      <c r="J91" s="13">
        <f t="shared" si="14"/>
        <v>53.840600000000002</v>
      </c>
      <c r="K91" s="13"/>
      <c r="L91" s="15">
        <f t="shared" si="15"/>
        <v>0.08</v>
      </c>
      <c r="M91" s="13">
        <f t="shared" si="16"/>
        <v>7.0048000000000004</v>
      </c>
      <c r="N91" s="13">
        <f t="shared" si="17"/>
        <v>15.835800000000003</v>
      </c>
      <c r="O91" s="15">
        <f t="shared" si="18"/>
        <v>0.18085655550479673</v>
      </c>
      <c r="P91" s="16">
        <f t="shared" si="19"/>
        <v>51.239669421487605</v>
      </c>
      <c r="Q91" s="41">
        <f t="shared" si="20"/>
        <v>0.20000000000000007</v>
      </c>
      <c r="T91" s="42"/>
      <c r="U91" s="16">
        <f t="shared" si="21"/>
        <v>61.487603305785122</v>
      </c>
      <c r="V91" s="41">
        <f t="shared" si="22"/>
        <v>0.16666666666666663</v>
      </c>
      <c r="W91" s="17">
        <f t="shared" si="23"/>
        <v>0.30083333333333323</v>
      </c>
      <c r="X91" s="41">
        <f t="shared" si="24"/>
        <v>0.20000000000000007</v>
      </c>
      <c r="Y91" s="43">
        <f t="shared" si="25"/>
        <v>10.247933884297524</v>
      </c>
      <c r="Z91" s="43">
        <f t="shared" si="26"/>
        <v>51.239669421487605</v>
      </c>
      <c r="AA91" s="44" t="str">
        <f t="shared" si="27"/>
        <v>OK</v>
      </c>
    </row>
    <row r="92" spans="1:27" ht="15" customHeight="1" x14ac:dyDescent="0.25">
      <c r="A92" s="12" t="s">
        <v>154</v>
      </c>
      <c r="B92" s="40">
        <v>57</v>
      </c>
      <c r="C92" s="12" t="s">
        <v>155</v>
      </c>
      <c r="D92" s="40">
        <v>159.9</v>
      </c>
      <c r="E92" s="13">
        <f>D92*G92</f>
        <v>16.7895</v>
      </c>
      <c r="F92" s="14"/>
      <c r="G92" s="15">
        <v>0.105</v>
      </c>
      <c r="H92" s="40">
        <v>0</v>
      </c>
      <c r="I92" s="40">
        <v>15.75</v>
      </c>
      <c r="J92" s="13">
        <f t="shared" si="14"/>
        <v>127.3605</v>
      </c>
      <c r="K92" s="13"/>
      <c r="L92" s="15">
        <f t="shared" si="15"/>
        <v>0.08</v>
      </c>
      <c r="M92" s="13">
        <f t="shared" si="16"/>
        <v>12.792000000000002</v>
      </c>
      <c r="N92" s="13">
        <f t="shared" si="17"/>
        <v>57.5685</v>
      </c>
      <c r="O92" s="15">
        <f t="shared" si="18"/>
        <v>0.36002814258911819</v>
      </c>
      <c r="P92" s="16">
        <f t="shared" si="19"/>
        <v>118.29268292682927</v>
      </c>
      <c r="Q92" s="41">
        <f t="shared" si="20"/>
        <v>0.19999999999999998</v>
      </c>
      <c r="T92" s="42"/>
      <c r="U92" s="16">
        <f t="shared" si="21"/>
        <v>141.95121951219511</v>
      </c>
      <c r="V92" s="41">
        <f t="shared" si="22"/>
        <v>0.16666666666666652</v>
      </c>
      <c r="W92" s="17">
        <f t="shared" si="23"/>
        <v>0.30249999999999994</v>
      </c>
      <c r="X92" s="41">
        <f t="shared" si="24"/>
        <v>0.19999999999999998</v>
      </c>
      <c r="Y92" s="43">
        <f t="shared" si="25"/>
        <v>23.658536585365852</v>
      </c>
      <c r="Z92" s="43">
        <f t="shared" si="26"/>
        <v>118.29268292682927</v>
      </c>
      <c r="AA92" s="44" t="str">
        <f t="shared" si="27"/>
        <v>OK</v>
      </c>
    </row>
    <row r="93" spans="1:27" ht="15" customHeight="1" x14ac:dyDescent="0.25">
      <c r="A93" s="12" t="s">
        <v>156</v>
      </c>
      <c r="B93" s="40">
        <v>31</v>
      </c>
      <c r="C93" s="12" t="s">
        <v>157</v>
      </c>
      <c r="D93" s="40">
        <v>95.9</v>
      </c>
      <c r="E93" s="13">
        <f>D93*G93</f>
        <v>11.028500000000001</v>
      </c>
      <c r="F93" s="14"/>
      <c r="G93" s="15">
        <v>0.115</v>
      </c>
      <c r="H93" s="40">
        <v>0</v>
      </c>
      <c r="I93" s="40">
        <v>26.25</v>
      </c>
      <c r="J93" s="13">
        <f t="shared" si="14"/>
        <v>58.621499999999997</v>
      </c>
      <c r="K93" s="13"/>
      <c r="L93" s="15">
        <f t="shared" si="15"/>
        <v>0.08</v>
      </c>
      <c r="M93" s="13">
        <f t="shared" si="16"/>
        <v>7.6720000000000006</v>
      </c>
      <c r="N93" s="13">
        <f t="shared" si="17"/>
        <v>19.949499999999997</v>
      </c>
      <c r="O93" s="15">
        <f t="shared" si="18"/>
        <v>0.20802398331595406</v>
      </c>
      <c r="P93" s="16">
        <f t="shared" si="19"/>
        <v>51.239669421487605</v>
      </c>
      <c r="Q93" s="41">
        <f t="shared" si="20"/>
        <v>0.20000000000000007</v>
      </c>
      <c r="T93" s="42"/>
      <c r="U93" s="16">
        <f t="shared" si="21"/>
        <v>61.487603305785122</v>
      </c>
      <c r="V93" s="41">
        <f t="shared" si="22"/>
        <v>0.16666666666666663</v>
      </c>
      <c r="W93" s="17">
        <f t="shared" si="23"/>
        <v>0.30083333333333323</v>
      </c>
      <c r="X93" s="41">
        <f t="shared" si="24"/>
        <v>0.20000000000000007</v>
      </c>
      <c r="Y93" s="43">
        <f t="shared" si="25"/>
        <v>10.247933884297524</v>
      </c>
      <c r="Z93" s="43">
        <f t="shared" si="26"/>
        <v>51.239669421487605</v>
      </c>
      <c r="AA93" s="44" t="str">
        <f t="shared" si="27"/>
        <v>OK</v>
      </c>
    </row>
    <row r="94" spans="1:27" ht="15" customHeight="1" x14ac:dyDescent="0.25">
      <c r="A94" s="12" t="s">
        <v>158</v>
      </c>
      <c r="B94" s="40">
        <v>109</v>
      </c>
      <c r="C94" s="12" t="s">
        <v>159</v>
      </c>
      <c r="D94" s="40">
        <v>289.89999999999998</v>
      </c>
      <c r="E94" s="14"/>
      <c r="F94" s="13">
        <f>D94*G94</f>
        <v>39.136499999999998</v>
      </c>
      <c r="G94" s="15">
        <v>0.13500000000000001</v>
      </c>
      <c r="H94" s="40">
        <v>0</v>
      </c>
      <c r="I94" s="40">
        <v>18.850000000000001</v>
      </c>
      <c r="J94" s="13">
        <f t="shared" si="14"/>
        <v>231.91349999999997</v>
      </c>
      <c r="K94" s="13"/>
      <c r="L94" s="15">
        <f t="shared" si="15"/>
        <v>0.08</v>
      </c>
      <c r="M94" s="13">
        <f t="shared" si="16"/>
        <v>23.192</v>
      </c>
      <c r="N94" s="13">
        <f t="shared" si="17"/>
        <v>99.721499999999963</v>
      </c>
      <c r="O94" s="15">
        <f t="shared" si="18"/>
        <v>0.34398585719213515</v>
      </c>
      <c r="P94" s="16">
        <f t="shared" si="19"/>
        <v>218.54700854700855</v>
      </c>
      <c r="Q94" s="41">
        <f t="shared" si="20"/>
        <v>0.19999999999999998</v>
      </c>
      <c r="T94" s="42"/>
      <c r="U94" s="16">
        <f t="shared" si="21"/>
        <v>262.25641025641022</v>
      </c>
      <c r="V94" s="41">
        <f t="shared" si="22"/>
        <v>0.16666666666666652</v>
      </c>
      <c r="W94" s="17">
        <f t="shared" si="23"/>
        <v>0.29749999999999988</v>
      </c>
      <c r="X94" s="41">
        <f t="shared" si="24"/>
        <v>0.19999999999999998</v>
      </c>
      <c r="Y94" s="43">
        <f t="shared" si="25"/>
        <v>43.709401709401703</v>
      </c>
      <c r="Z94" s="43">
        <f t="shared" si="26"/>
        <v>218.54700854700855</v>
      </c>
      <c r="AA94" s="44" t="str">
        <f t="shared" si="27"/>
        <v>OK</v>
      </c>
    </row>
    <row r="95" spans="1:27" ht="15" customHeight="1" x14ac:dyDescent="0.25">
      <c r="A95" s="12" t="s">
        <v>148</v>
      </c>
      <c r="B95" s="40">
        <v>57</v>
      </c>
      <c r="C95" s="12" t="s">
        <v>160</v>
      </c>
      <c r="D95" s="40">
        <v>149.9</v>
      </c>
      <c r="E95" s="13">
        <f>D95*G95</f>
        <v>17.238500000000002</v>
      </c>
      <c r="F95" s="14"/>
      <c r="G95" s="15">
        <v>0.115</v>
      </c>
      <c r="H95" s="40">
        <v>0</v>
      </c>
      <c r="I95" s="40">
        <v>15.75</v>
      </c>
      <c r="J95" s="13">
        <f t="shared" si="14"/>
        <v>116.91149999999999</v>
      </c>
      <c r="K95" s="13"/>
      <c r="L95" s="15">
        <f t="shared" si="15"/>
        <v>0.08</v>
      </c>
      <c r="M95" s="13">
        <f t="shared" si="16"/>
        <v>11.992000000000001</v>
      </c>
      <c r="N95" s="13">
        <f t="shared" si="17"/>
        <v>47.919499999999985</v>
      </c>
      <c r="O95" s="15">
        <f t="shared" si="18"/>
        <v>0.31967645096731145</v>
      </c>
      <c r="P95" s="16">
        <f t="shared" si="19"/>
        <v>120.24793388429752</v>
      </c>
      <c r="Q95" s="41">
        <f t="shared" si="20"/>
        <v>0.19999999999999996</v>
      </c>
      <c r="T95" s="42"/>
      <c r="U95" s="16">
        <f t="shared" si="21"/>
        <v>144.29752066115702</v>
      </c>
      <c r="V95" s="41">
        <f t="shared" si="22"/>
        <v>0.16666666666666663</v>
      </c>
      <c r="W95" s="17">
        <f t="shared" si="23"/>
        <v>0.30083333333333334</v>
      </c>
      <c r="X95" s="41">
        <f t="shared" si="24"/>
        <v>0.19999999999999996</v>
      </c>
      <c r="Y95" s="43">
        <f t="shared" si="25"/>
        <v>24.049586776859499</v>
      </c>
      <c r="Z95" s="43">
        <f t="shared" si="26"/>
        <v>120.24793388429752</v>
      </c>
      <c r="AA95" s="44" t="str">
        <f t="shared" si="27"/>
        <v>OK</v>
      </c>
    </row>
    <row r="96" spans="1:27" ht="15" customHeight="1" x14ac:dyDescent="0.25">
      <c r="A96" s="12" t="s">
        <v>152</v>
      </c>
      <c r="B96" s="40">
        <v>31</v>
      </c>
      <c r="C96" s="12" t="s">
        <v>161</v>
      </c>
      <c r="D96" s="40">
        <v>92.9</v>
      </c>
      <c r="E96" s="14"/>
      <c r="F96" s="13">
        <f>D96*G96</f>
        <v>15.328500000000002</v>
      </c>
      <c r="G96" s="15">
        <v>0.16500000000000001</v>
      </c>
      <c r="H96" s="40">
        <v>0</v>
      </c>
      <c r="I96" s="40">
        <v>15.75</v>
      </c>
      <c r="J96" s="13">
        <f t="shared" si="14"/>
        <v>61.8215</v>
      </c>
      <c r="K96" s="13"/>
      <c r="L96" s="15">
        <f t="shared" si="15"/>
        <v>0.08</v>
      </c>
      <c r="M96" s="13">
        <f t="shared" si="16"/>
        <v>7.4320000000000004</v>
      </c>
      <c r="N96" s="13">
        <f t="shared" si="17"/>
        <v>23.389499999999998</v>
      </c>
      <c r="O96" s="15">
        <f t="shared" si="18"/>
        <v>0.2517707212055974</v>
      </c>
      <c r="P96" s="16">
        <f t="shared" si="19"/>
        <v>55.855855855855864</v>
      </c>
      <c r="Q96" s="41">
        <f t="shared" si="20"/>
        <v>0.20000000000000015</v>
      </c>
      <c r="T96" s="42"/>
      <c r="U96" s="16">
        <f t="shared" si="21"/>
        <v>67.027027027027032</v>
      </c>
      <c r="V96" s="41">
        <f t="shared" si="22"/>
        <v>0.16666666666666663</v>
      </c>
      <c r="W96" s="17">
        <f t="shared" si="23"/>
        <v>0.29249999999999998</v>
      </c>
      <c r="X96" s="41">
        <f t="shared" si="24"/>
        <v>0.20000000000000015</v>
      </c>
      <c r="Y96" s="43">
        <f t="shared" si="25"/>
        <v>11.171171171171181</v>
      </c>
      <c r="Z96" s="43">
        <f t="shared" si="26"/>
        <v>55.855855855855864</v>
      </c>
      <c r="AA96" s="44" t="str">
        <f t="shared" si="27"/>
        <v>OK</v>
      </c>
    </row>
    <row r="97" spans="1:27" ht="15" customHeight="1" x14ac:dyDescent="0.25">
      <c r="A97" s="12" t="s">
        <v>156</v>
      </c>
      <c r="B97" s="40">
        <v>31</v>
      </c>
      <c r="C97" s="12" t="s">
        <v>162</v>
      </c>
      <c r="D97" s="40">
        <v>97.56</v>
      </c>
      <c r="E97" s="14"/>
      <c r="F97" s="13">
        <f>D97*G97</f>
        <v>16.0974</v>
      </c>
      <c r="G97" s="15">
        <v>0.16500000000000001</v>
      </c>
      <c r="H97" s="40">
        <v>0</v>
      </c>
      <c r="I97" s="40">
        <v>23.65</v>
      </c>
      <c r="J97" s="13">
        <f t="shared" si="14"/>
        <v>57.81260000000001</v>
      </c>
      <c r="K97" s="13"/>
      <c r="L97" s="15">
        <f t="shared" si="15"/>
        <v>0.08</v>
      </c>
      <c r="M97" s="13">
        <f t="shared" si="16"/>
        <v>7.8048000000000002</v>
      </c>
      <c r="N97" s="13">
        <f t="shared" si="17"/>
        <v>19.00780000000001</v>
      </c>
      <c r="O97" s="15">
        <f t="shared" si="18"/>
        <v>0.19483189831898329</v>
      </c>
      <c r="P97" s="16">
        <f t="shared" si="19"/>
        <v>55.855855855855864</v>
      </c>
      <c r="Q97" s="41">
        <f t="shared" si="20"/>
        <v>0.20000000000000015</v>
      </c>
      <c r="T97" s="42"/>
      <c r="U97" s="16">
        <f t="shared" si="21"/>
        <v>67.027027027027032</v>
      </c>
      <c r="V97" s="41">
        <f t="shared" si="22"/>
        <v>0.16666666666666663</v>
      </c>
      <c r="W97" s="17">
        <f t="shared" si="23"/>
        <v>0.29249999999999998</v>
      </c>
      <c r="X97" s="41">
        <f t="shared" si="24"/>
        <v>0.20000000000000015</v>
      </c>
      <c r="Y97" s="43">
        <f t="shared" si="25"/>
        <v>11.171171171171181</v>
      </c>
      <c r="Z97" s="43">
        <f t="shared" si="26"/>
        <v>55.855855855855864</v>
      </c>
      <c r="AA97" s="44" t="str">
        <f t="shared" si="27"/>
        <v>OK</v>
      </c>
    </row>
    <row r="98" spans="1:27" ht="15" customHeight="1" x14ac:dyDescent="0.25">
      <c r="A98" s="12" t="s">
        <v>154</v>
      </c>
      <c r="B98" s="40">
        <v>57</v>
      </c>
      <c r="C98" s="12" t="s">
        <v>163</v>
      </c>
      <c r="D98" s="40">
        <v>167.55</v>
      </c>
      <c r="E98" s="14"/>
      <c r="F98" s="13">
        <f>D98*G98</f>
        <v>22.619250000000005</v>
      </c>
      <c r="G98" s="15">
        <v>0.13500000000000001</v>
      </c>
      <c r="H98" s="40">
        <v>0</v>
      </c>
      <c r="I98" s="40">
        <v>26.25</v>
      </c>
      <c r="J98" s="13">
        <f t="shared" si="14"/>
        <v>118.68075000000002</v>
      </c>
      <c r="K98" s="13"/>
      <c r="L98" s="15">
        <f t="shared" si="15"/>
        <v>0.08</v>
      </c>
      <c r="M98" s="13">
        <f t="shared" si="16"/>
        <v>13.404000000000002</v>
      </c>
      <c r="N98" s="13">
        <f t="shared" si="17"/>
        <v>48.276750000000014</v>
      </c>
      <c r="O98" s="15">
        <f t="shared" si="18"/>
        <v>0.28813339301700991</v>
      </c>
      <c r="P98" s="16">
        <f t="shared" si="19"/>
        <v>142.30769230769232</v>
      </c>
      <c r="Q98" s="41">
        <f t="shared" si="20"/>
        <v>0.2</v>
      </c>
      <c r="T98" s="42"/>
      <c r="U98" s="16">
        <f t="shared" si="21"/>
        <v>170.76923076923077</v>
      </c>
      <c r="V98" s="41">
        <f t="shared" si="22"/>
        <v>0.16666666666666663</v>
      </c>
      <c r="W98" s="17">
        <f t="shared" si="23"/>
        <v>0.29749999999999988</v>
      </c>
      <c r="X98" s="41">
        <f t="shared" si="24"/>
        <v>0.2</v>
      </c>
      <c r="Y98" s="43">
        <f t="shared" si="25"/>
        <v>28.461538461538467</v>
      </c>
      <c r="Z98" s="43">
        <f t="shared" si="26"/>
        <v>142.30769230769232</v>
      </c>
      <c r="AA98" s="44" t="str">
        <f t="shared" si="27"/>
        <v>OK</v>
      </c>
    </row>
    <row r="99" spans="1:27" ht="15" customHeight="1" x14ac:dyDescent="0.25">
      <c r="A99" s="12" t="s">
        <v>158</v>
      </c>
      <c r="B99" s="40">
        <v>109</v>
      </c>
      <c r="C99" s="12" t="s">
        <v>164</v>
      </c>
      <c r="D99" s="40">
        <v>262.89999999999998</v>
      </c>
      <c r="E99" s="13">
        <f>D99*G99</f>
        <v>27.604499999999998</v>
      </c>
      <c r="F99" s="14"/>
      <c r="G99" s="15">
        <v>0.105</v>
      </c>
      <c r="H99" s="40">
        <v>0</v>
      </c>
      <c r="I99" s="40">
        <v>26.25</v>
      </c>
      <c r="J99" s="13">
        <f t="shared" si="14"/>
        <v>209.04549999999998</v>
      </c>
      <c r="K99" s="13"/>
      <c r="L99" s="15">
        <f t="shared" si="15"/>
        <v>0.08</v>
      </c>
      <c r="M99" s="13">
        <f t="shared" si="16"/>
        <v>21.032</v>
      </c>
      <c r="N99" s="13">
        <f t="shared" si="17"/>
        <v>79.013499999999979</v>
      </c>
      <c r="O99" s="15">
        <f t="shared" si="18"/>
        <v>0.30054583491821979</v>
      </c>
      <c r="P99" s="16">
        <f t="shared" si="19"/>
        <v>219.91869918699189</v>
      </c>
      <c r="Q99" s="41">
        <f t="shared" si="20"/>
        <v>0.20000000000000004</v>
      </c>
      <c r="T99" s="42"/>
      <c r="U99" s="16">
        <f t="shared" si="21"/>
        <v>263.90243902439028</v>
      </c>
      <c r="V99" s="41">
        <f t="shared" si="22"/>
        <v>0.16666666666666674</v>
      </c>
      <c r="W99" s="17">
        <f t="shared" si="23"/>
        <v>0.30249999999999999</v>
      </c>
      <c r="X99" s="41">
        <f t="shared" si="24"/>
        <v>0.20000000000000004</v>
      </c>
      <c r="Y99" s="43">
        <f t="shared" si="25"/>
        <v>43.983739837398389</v>
      </c>
      <c r="Z99" s="43">
        <f t="shared" si="26"/>
        <v>219.91869918699189</v>
      </c>
      <c r="AA99" s="44" t="str">
        <f t="shared" si="27"/>
        <v>OK</v>
      </c>
    </row>
    <row r="100" spans="1:27" ht="15" customHeight="1" x14ac:dyDescent="0.25">
      <c r="A100" s="12" t="s">
        <v>150</v>
      </c>
      <c r="B100" s="40">
        <v>83</v>
      </c>
      <c r="C100" s="12" t="s">
        <v>165</v>
      </c>
      <c r="D100" s="40">
        <v>215.9</v>
      </c>
      <c r="E100" s="14"/>
      <c r="F100" s="13">
        <f>D100*G100</f>
        <v>29.146500000000003</v>
      </c>
      <c r="G100" s="15">
        <v>0.13500000000000001</v>
      </c>
      <c r="H100" s="40">
        <v>7.95</v>
      </c>
      <c r="I100" s="40">
        <v>0</v>
      </c>
      <c r="J100" s="13">
        <f t="shared" si="14"/>
        <v>186.7535</v>
      </c>
      <c r="K100" s="13"/>
      <c r="L100" s="15">
        <f t="shared" si="15"/>
        <v>0.08</v>
      </c>
      <c r="M100" s="13">
        <f t="shared" si="16"/>
        <v>17.272000000000002</v>
      </c>
      <c r="N100" s="13">
        <f t="shared" si="17"/>
        <v>86.481499999999997</v>
      </c>
      <c r="O100" s="15">
        <f t="shared" si="18"/>
        <v>0.40056276053728573</v>
      </c>
      <c r="P100" s="16">
        <f t="shared" si="19"/>
        <v>141.88034188034189</v>
      </c>
      <c r="Q100" s="41">
        <f t="shared" si="20"/>
        <v>0.19999999999999998</v>
      </c>
      <c r="T100" s="42"/>
      <c r="U100" s="16">
        <f t="shared" si="21"/>
        <v>170.25641025641025</v>
      </c>
      <c r="V100" s="41">
        <f t="shared" si="22"/>
        <v>0.16666666666666663</v>
      </c>
      <c r="W100" s="17">
        <f t="shared" si="23"/>
        <v>0.29749999999999993</v>
      </c>
      <c r="X100" s="41">
        <f t="shared" si="24"/>
        <v>0.19999999999999998</v>
      </c>
      <c r="Y100" s="43">
        <f t="shared" si="25"/>
        <v>28.376068376068375</v>
      </c>
      <c r="Z100" s="43">
        <f t="shared" si="26"/>
        <v>141.88034188034189</v>
      </c>
      <c r="AA100" s="44" t="str">
        <f t="shared" si="27"/>
        <v>⚠ Subiu p/ frete (I=0)</v>
      </c>
    </row>
    <row r="101" spans="1:27" ht="15" customHeight="1" x14ac:dyDescent="0.25">
      <c r="A101" s="12" t="s">
        <v>19</v>
      </c>
      <c r="B101" s="40">
        <v>11.75</v>
      </c>
      <c r="C101" s="12" t="s">
        <v>166</v>
      </c>
      <c r="D101" s="40">
        <v>26.9</v>
      </c>
      <c r="E101" s="14"/>
      <c r="F101" s="13">
        <f>D101*G101</f>
        <v>4.4385000000000003</v>
      </c>
      <c r="G101" s="15">
        <v>0.16500000000000001</v>
      </c>
      <c r="H101" s="40">
        <v>0</v>
      </c>
      <c r="I101" s="40">
        <v>78.650000000000006</v>
      </c>
      <c r="J101" s="13">
        <f t="shared" si="14"/>
        <v>22.461499999999997</v>
      </c>
      <c r="K101" s="13"/>
      <c r="L101" s="15">
        <f t="shared" si="15"/>
        <v>0.08</v>
      </c>
      <c r="M101" s="13">
        <f t="shared" si="16"/>
        <v>2.1520000000000001</v>
      </c>
      <c r="N101" s="13">
        <f t="shared" si="17"/>
        <v>8.5594999999999963</v>
      </c>
      <c r="O101" s="15">
        <f t="shared" si="18"/>
        <v>0.31819702602230471</v>
      </c>
      <c r="P101" s="16">
        <f t="shared" si="19"/>
        <v>21.171171171171174</v>
      </c>
      <c r="Q101" s="41">
        <f t="shared" si="20"/>
        <v>0.20000000000000015</v>
      </c>
      <c r="T101" s="42"/>
      <c r="U101" s="16">
        <f t="shared" si="21"/>
        <v>25.405405405405407</v>
      </c>
      <c r="V101" s="41">
        <f t="shared" si="22"/>
        <v>0.16666666666666663</v>
      </c>
      <c r="W101" s="17">
        <f t="shared" si="23"/>
        <v>0.29250000000000004</v>
      </c>
      <c r="X101" s="41">
        <f t="shared" si="24"/>
        <v>0.20000000000000015</v>
      </c>
      <c r="Y101" s="43">
        <f t="shared" si="25"/>
        <v>4.2342342342342381</v>
      </c>
      <c r="Z101" s="43">
        <f t="shared" si="26"/>
        <v>21.171171171171174</v>
      </c>
      <c r="AA101" s="44" t="str">
        <f t="shared" si="27"/>
        <v>OK</v>
      </c>
    </row>
    <row r="102" spans="1:27" ht="15" customHeight="1" x14ac:dyDescent="0.25">
      <c r="A102" s="12" t="s">
        <v>167</v>
      </c>
      <c r="B102" s="40">
        <v>299.19</v>
      </c>
      <c r="C102" s="12" t="s">
        <v>168</v>
      </c>
      <c r="D102" s="40">
        <v>549.9</v>
      </c>
      <c r="E102" s="13">
        <f>D102*G102</f>
        <v>71.486999999999995</v>
      </c>
      <c r="F102" s="14"/>
      <c r="G102" s="15">
        <v>0.13</v>
      </c>
      <c r="H102" s="40">
        <v>0</v>
      </c>
      <c r="I102" s="40">
        <v>78.650000000000006</v>
      </c>
      <c r="J102" s="13">
        <f t="shared" si="14"/>
        <v>399.76300000000003</v>
      </c>
      <c r="K102" s="13"/>
      <c r="L102" s="15">
        <f t="shared" si="15"/>
        <v>0.08</v>
      </c>
      <c r="M102" s="13">
        <f t="shared" si="16"/>
        <v>43.991999999999997</v>
      </c>
      <c r="N102" s="13">
        <f t="shared" si="17"/>
        <v>56.581000000000039</v>
      </c>
      <c r="O102" s="15">
        <f t="shared" si="18"/>
        <v>0.10289325331878531</v>
      </c>
      <c r="P102" s="16">
        <f t="shared" si="19"/>
        <v>640.40677966101691</v>
      </c>
      <c r="Q102" s="41">
        <f t="shared" si="20"/>
        <v>0.19999999999999993</v>
      </c>
      <c r="T102" s="42"/>
      <c r="U102" s="16">
        <f t="shared" si="21"/>
        <v>768.48813559322025</v>
      </c>
      <c r="V102" s="41">
        <f t="shared" si="22"/>
        <v>0.16666666666666663</v>
      </c>
      <c r="W102" s="17">
        <f t="shared" si="23"/>
        <v>0.29833333333333323</v>
      </c>
      <c r="X102" s="41">
        <f t="shared" si="24"/>
        <v>0.19999999999999993</v>
      </c>
      <c r="Y102" s="43">
        <f t="shared" si="25"/>
        <v>128.08135593220334</v>
      </c>
      <c r="Z102" s="43">
        <f t="shared" si="26"/>
        <v>640.40677966101691</v>
      </c>
      <c r="AA102" s="44" t="str">
        <f t="shared" si="27"/>
        <v>OK</v>
      </c>
    </row>
    <row r="103" spans="1:27" ht="15" customHeight="1" x14ac:dyDescent="0.25">
      <c r="A103" s="12" t="s">
        <v>167</v>
      </c>
      <c r="B103" s="40">
        <v>299.19</v>
      </c>
      <c r="C103" s="12" t="s">
        <v>169</v>
      </c>
      <c r="D103" s="40">
        <v>549.9</v>
      </c>
      <c r="E103" s="13">
        <f>D103*G103</f>
        <v>71.486999999999995</v>
      </c>
      <c r="F103" s="14"/>
      <c r="G103" s="15">
        <v>0.13</v>
      </c>
      <c r="H103" s="40">
        <v>0</v>
      </c>
      <c r="I103" s="40">
        <v>18.45</v>
      </c>
      <c r="J103" s="13">
        <f t="shared" si="14"/>
        <v>459.96300000000002</v>
      </c>
      <c r="K103" s="13"/>
      <c r="L103" s="15">
        <f t="shared" si="15"/>
        <v>0.08</v>
      </c>
      <c r="M103" s="13">
        <f t="shared" si="16"/>
        <v>43.991999999999997</v>
      </c>
      <c r="N103" s="13">
        <f t="shared" si="17"/>
        <v>116.78100000000003</v>
      </c>
      <c r="O103" s="15">
        <f t="shared" si="18"/>
        <v>0.21236770321876711</v>
      </c>
      <c r="P103" s="16">
        <f t="shared" si="19"/>
        <v>538.37288135593212</v>
      </c>
      <c r="Q103" s="41">
        <f t="shared" si="20"/>
        <v>0.1999999999999999</v>
      </c>
      <c r="T103" s="42"/>
      <c r="U103" s="16">
        <f t="shared" si="21"/>
        <v>646.04745762711855</v>
      </c>
      <c r="V103" s="41">
        <f t="shared" si="22"/>
        <v>0.16666666666666663</v>
      </c>
      <c r="W103" s="17">
        <f t="shared" si="23"/>
        <v>0.29833333333333317</v>
      </c>
      <c r="X103" s="41">
        <f t="shared" si="24"/>
        <v>0.1999999999999999</v>
      </c>
      <c r="Y103" s="43">
        <f t="shared" si="25"/>
        <v>107.67457627118637</v>
      </c>
      <c r="Z103" s="43">
        <f t="shared" si="26"/>
        <v>538.37288135593212</v>
      </c>
      <c r="AA103" s="44" t="str">
        <f t="shared" si="27"/>
        <v>OK</v>
      </c>
    </row>
    <row r="104" spans="1:27" ht="15" customHeight="1" x14ac:dyDescent="0.25">
      <c r="A104" s="12" t="s">
        <v>144</v>
      </c>
      <c r="B104" s="40">
        <v>65.94</v>
      </c>
      <c r="C104" s="12" t="s">
        <v>170</v>
      </c>
      <c r="D104" s="40">
        <v>124.9</v>
      </c>
      <c r="E104" s="14"/>
      <c r="F104" s="13">
        <f>D104*G104</f>
        <v>22.481999999999999</v>
      </c>
      <c r="G104" s="15">
        <v>0.18</v>
      </c>
      <c r="H104" s="40">
        <v>6.75</v>
      </c>
      <c r="I104" s="40">
        <v>0</v>
      </c>
      <c r="J104" s="13">
        <f t="shared" si="14"/>
        <v>102.41800000000001</v>
      </c>
      <c r="K104" s="13"/>
      <c r="L104" s="15">
        <f t="shared" si="15"/>
        <v>0.08</v>
      </c>
      <c r="M104" s="13">
        <f t="shared" si="16"/>
        <v>9.9920000000000009</v>
      </c>
      <c r="N104" s="13">
        <f t="shared" si="17"/>
        <v>26.486000000000008</v>
      </c>
      <c r="O104" s="15">
        <f t="shared" si="18"/>
        <v>0.21205764611689357</v>
      </c>
      <c r="P104" s="16">
        <f t="shared" si="19"/>
        <v>122.1111111111111</v>
      </c>
      <c r="Q104" s="41">
        <f t="shared" si="20"/>
        <v>0.19999999999999998</v>
      </c>
      <c r="T104" s="42"/>
      <c r="U104" s="16">
        <f t="shared" si="21"/>
        <v>146.5333333333333</v>
      </c>
      <c r="V104" s="41">
        <f t="shared" si="22"/>
        <v>0.16666666666666652</v>
      </c>
      <c r="W104" s="17">
        <f t="shared" si="23"/>
        <v>0.28999999999999992</v>
      </c>
      <c r="X104" s="41">
        <f t="shared" si="24"/>
        <v>0.19999999999999998</v>
      </c>
      <c r="Y104" s="43">
        <f t="shared" si="25"/>
        <v>24.422222222222217</v>
      </c>
      <c r="Z104" s="43">
        <f t="shared" si="26"/>
        <v>122.1111111111111</v>
      </c>
      <c r="AA104" s="44" t="str">
        <f t="shared" si="27"/>
        <v>⚠ Subiu p/ frete (I=0)</v>
      </c>
    </row>
    <row r="105" spans="1:27" ht="15" customHeight="1" x14ac:dyDescent="0.25">
      <c r="A105" s="12" t="s">
        <v>171</v>
      </c>
      <c r="B105" s="40">
        <v>7.14</v>
      </c>
      <c r="C105" s="12" t="s">
        <v>172</v>
      </c>
      <c r="D105" s="40">
        <v>21.95</v>
      </c>
      <c r="E105" s="13">
        <f>D105*G105</f>
        <v>2.5242499999999999</v>
      </c>
      <c r="F105" s="14"/>
      <c r="G105" s="15">
        <v>0.115</v>
      </c>
      <c r="H105" s="40">
        <v>0</v>
      </c>
      <c r="I105" s="40">
        <v>18.45</v>
      </c>
      <c r="J105" s="13">
        <f t="shared" si="14"/>
        <v>19.425750000000001</v>
      </c>
      <c r="K105" s="13"/>
      <c r="L105" s="15">
        <f t="shared" si="15"/>
        <v>0.08</v>
      </c>
      <c r="M105" s="13">
        <f t="shared" si="16"/>
        <v>1.756</v>
      </c>
      <c r="N105" s="13">
        <f t="shared" si="17"/>
        <v>10.52975</v>
      </c>
      <c r="O105" s="15">
        <f t="shared" si="18"/>
        <v>0.47971526195899772</v>
      </c>
      <c r="P105" s="16">
        <f t="shared" si="19"/>
        <v>11.801652892561984</v>
      </c>
      <c r="Q105" s="41">
        <f t="shared" si="20"/>
        <v>0.20000000000000004</v>
      </c>
      <c r="T105" s="42"/>
      <c r="U105" s="16">
        <f t="shared" si="21"/>
        <v>14.161983471074381</v>
      </c>
      <c r="V105" s="41">
        <f t="shared" si="22"/>
        <v>0.16666666666666663</v>
      </c>
      <c r="W105" s="17">
        <f t="shared" si="23"/>
        <v>0.3008333333333334</v>
      </c>
      <c r="X105" s="41">
        <f t="shared" si="24"/>
        <v>0.20000000000000004</v>
      </c>
      <c r="Y105" s="43">
        <f t="shared" si="25"/>
        <v>2.3603305785123974</v>
      </c>
      <c r="Z105" s="43">
        <f t="shared" si="26"/>
        <v>11.801652892561984</v>
      </c>
      <c r="AA105" s="44" t="str">
        <f t="shared" si="27"/>
        <v>OK</v>
      </c>
    </row>
    <row r="106" spans="1:27" ht="15" customHeight="1" x14ac:dyDescent="0.25">
      <c r="A106" s="12" t="s">
        <v>173</v>
      </c>
      <c r="B106" s="40">
        <v>53.1</v>
      </c>
      <c r="C106" s="12" t="s">
        <v>174</v>
      </c>
      <c r="D106" s="40">
        <v>140</v>
      </c>
      <c r="E106" s="13">
        <f>D106*G106</f>
        <v>16.100000000000001</v>
      </c>
      <c r="F106" s="14"/>
      <c r="G106" s="15">
        <v>0.115</v>
      </c>
      <c r="H106" s="40">
        <v>0</v>
      </c>
      <c r="I106" s="40">
        <v>18.45</v>
      </c>
      <c r="J106" s="13">
        <f t="shared" si="14"/>
        <v>105.45</v>
      </c>
      <c r="K106" s="13"/>
      <c r="L106" s="15">
        <f t="shared" si="15"/>
        <v>0.08</v>
      </c>
      <c r="M106" s="13">
        <f t="shared" si="16"/>
        <v>11.200000000000001</v>
      </c>
      <c r="N106" s="13">
        <f t="shared" si="17"/>
        <v>41.15</v>
      </c>
      <c r="O106" s="15">
        <f t="shared" si="18"/>
        <v>0.29392857142857143</v>
      </c>
      <c r="P106" s="16">
        <f t="shared" si="19"/>
        <v>118.26446280991735</v>
      </c>
      <c r="Q106" s="41">
        <f t="shared" si="20"/>
        <v>0.1999999999999999</v>
      </c>
      <c r="T106" s="42"/>
      <c r="U106" s="16">
        <f t="shared" si="21"/>
        <v>141.91735537190081</v>
      </c>
      <c r="V106" s="41">
        <f t="shared" si="22"/>
        <v>0.16666666666666663</v>
      </c>
      <c r="W106" s="17">
        <f t="shared" si="23"/>
        <v>0.30083333333333334</v>
      </c>
      <c r="X106" s="41">
        <f t="shared" si="24"/>
        <v>0.1999999999999999</v>
      </c>
      <c r="Y106" s="43">
        <f t="shared" si="25"/>
        <v>23.652892561983457</v>
      </c>
      <c r="Z106" s="43">
        <f t="shared" si="26"/>
        <v>118.26446280991735</v>
      </c>
      <c r="AA106" s="44" t="str">
        <f t="shared" si="27"/>
        <v>OK</v>
      </c>
    </row>
    <row r="107" spans="1:27" ht="15" customHeight="1" x14ac:dyDescent="0.25">
      <c r="A107" s="12" t="s">
        <v>175</v>
      </c>
      <c r="B107" s="40">
        <v>53.1</v>
      </c>
      <c r="C107" s="12" t="s">
        <v>176</v>
      </c>
      <c r="D107" s="40">
        <v>140</v>
      </c>
      <c r="E107" s="13">
        <f>D107*G107</f>
        <v>16.100000000000001</v>
      </c>
      <c r="F107" s="14"/>
      <c r="G107" s="15">
        <v>0.115</v>
      </c>
      <c r="H107" s="40">
        <v>0</v>
      </c>
      <c r="I107" s="40">
        <v>18.45</v>
      </c>
      <c r="J107" s="13">
        <f t="shared" si="14"/>
        <v>105.45</v>
      </c>
      <c r="K107" s="13"/>
      <c r="L107" s="15">
        <f t="shared" si="15"/>
        <v>0.08</v>
      </c>
      <c r="M107" s="13">
        <f t="shared" si="16"/>
        <v>11.200000000000001</v>
      </c>
      <c r="N107" s="13">
        <f t="shared" si="17"/>
        <v>41.15</v>
      </c>
      <c r="O107" s="15">
        <f t="shared" si="18"/>
        <v>0.29392857142857143</v>
      </c>
      <c r="P107" s="16">
        <f t="shared" si="19"/>
        <v>118.26446280991735</v>
      </c>
      <c r="Q107" s="41">
        <f t="shared" si="20"/>
        <v>0.1999999999999999</v>
      </c>
      <c r="T107" s="42"/>
      <c r="U107" s="16">
        <f t="shared" si="21"/>
        <v>141.91735537190081</v>
      </c>
      <c r="V107" s="41">
        <f t="shared" si="22"/>
        <v>0.16666666666666663</v>
      </c>
      <c r="W107" s="17">
        <f t="shared" si="23"/>
        <v>0.30083333333333334</v>
      </c>
      <c r="X107" s="41">
        <f t="shared" si="24"/>
        <v>0.1999999999999999</v>
      </c>
      <c r="Y107" s="43">
        <f t="shared" si="25"/>
        <v>23.652892561983457</v>
      </c>
      <c r="Z107" s="43">
        <f t="shared" si="26"/>
        <v>118.26446280991735</v>
      </c>
      <c r="AA107" s="44" t="str">
        <f t="shared" si="27"/>
        <v>OK</v>
      </c>
    </row>
    <row r="108" spans="1:27" ht="15" customHeight="1" x14ac:dyDescent="0.25">
      <c r="A108" s="12" t="s">
        <v>173</v>
      </c>
      <c r="B108" s="40">
        <v>53.1</v>
      </c>
      <c r="C108" s="12" t="s">
        <v>177</v>
      </c>
      <c r="D108" s="40">
        <v>140</v>
      </c>
      <c r="E108" s="14"/>
      <c r="F108" s="13">
        <f>D108*G108</f>
        <v>23.1</v>
      </c>
      <c r="G108" s="15">
        <v>0.16500000000000001</v>
      </c>
      <c r="H108" s="40">
        <v>0</v>
      </c>
      <c r="I108" s="40">
        <v>16.149999999999999</v>
      </c>
      <c r="J108" s="13">
        <f t="shared" si="14"/>
        <v>100.75</v>
      </c>
      <c r="K108" s="13"/>
      <c r="L108" s="15">
        <f t="shared" si="15"/>
        <v>0.08</v>
      </c>
      <c r="M108" s="13">
        <f t="shared" si="16"/>
        <v>11.200000000000001</v>
      </c>
      <c r="N108" s="13">
        <f t="shared" si="17"/>
        <v>36.449999999999996</v>
      </c>
      <c r="O108" s="15">
        <f t="shared" si="18"/>
        <v>0.26035714285714284</v>
      </c>
      <c r="P108" s="16">
        <f t="shared" si="19"/>
        <v>124.77477477477478</v>
      </c>
      <c r="Q108" s="41">
        <f t="shared" si="20"/>
        <v>0.19999999999999996</v>
      </c>
      <c r="T108" s="42"/>
      <c r="U108" s="16">
        <f t="shared" si="21"/>
        <v>149.72972972972974</v>
      </c>
      <c r="V108" s="41">
        <f t="shared" si="22"/>
        <v>0.16666666666666663</v>
      </c>
      <c r="W108" s="17">
        <f t="shared" si="23"/>
        <v>0.29250000000000004</v>
      </c>
      <c r="X108" s="41">
        <f t="shared" si="24"/>
        <v>0.19999999999999996</v>
      </c>
      <c r="Y108" s="43">
        <f t="shared" si="25"/>
        <v>24.95495495495495</v>
      </c>
      <c r="Z108" s="43">
        <f t="shared" si="26"/>
        <v>124.77477477477478</v>
      </c>
      <c r="AA108" s="44" t="str">
        <f t="shared" si="27"/>
        <v>OK</v>
      </c>
    </row>
    <row r="109" spans="1:27" ht="15" customHeight="1" x14ac:dyDescent="0.25">
      <c r="A109" s="12" t="s">
        <v>175</v>
      </c>
      <c r="B109" s="40">
        <v>53.1</v>
      </c>
      <c r="C109" s="12" t="s">
        <v>178</v>
      </c>
      <c r="D109" s="40">
        <v>117.9</v>
      </c>
      <c r="E109" s="14"/>
      <c r="F109" s="13">
        <f>D109*G109</f>
        <v>19.453500000000002</v>
      </c>
      <c r="G109" s="15">
        <v>0.16500000000000001</v>
      </c>
      <c r="H109" s="40">
        <v>6.55</v>
      </c>
      <c r="I109" s="40">
        <v>0</v>
      </c>
      <c r="J109" s="13">
        <f t="shared" si="14"/>
        <v>98.4465</v>
      </c>
      <c r="K109" s="13"/>
      <c r="L109" s="15">
        <f t="shared" si="15"/>
        <v>0.08</v>
      </c>
      <c r="M109" s="13">
        <f t="shared" si="16"/>
        <v>9.4320000000000004</v>
      </c>
      <c r="N109" s="13">
        <f t="shared" si="17"/>
        <v>35.914499999999997</v>
      </c>
      <c r="O109" s="15">
        <f t="shared" si="18"/>
        <v>0.304618320610687</v>
      </c>
      <c r="P109" s="16">
        <f t="shared" si="19"/>
        <v>95.675675675675691</v>
      </c>
      <c r="Q109" s="41">
        <f t="shared" si="20"/>
        <v>0.19999999999999998</v>
      </c>
      <c r="T109" s="42"/>
      <c r="U109" s="16">
        <f t="shared" si="21"/>
        <v>114.81081081081082</v>
      </c>
      <c r="V109" s="41">
        <f t="shared" si="22"/>
        <v>0.16666666666666663</v>
      </c>
      <c r="W109" s="17">
        <f t="shared" si="23"/>
        <v>0.29250000000000004</v>
      </c>
      <c r="X109" s="41">
        <f t="shared" si="24"/>
        <v>0.19999999999999998</v>
      </c>
      <c r="Y109" s="43">
        <f t="shared" si="25"/>
        <v>19.135135135135137</v>
      </c>
      <c r="Z109" s="43">
        <f t="shared" si="26"/>
        <v>95.675675675675691</v>
      </c>
      <c r="AA109" s="44" t="str">
        <f t="shared" si="27"/>
        <v>⚠ Subiu p/ frete (I=0)</v>
      </c>
    </row>
    <row r="110" spans="1:27" ht="15" customHeight="1" x14ac:dyDescent="0.25">
      <c r="A110" s="12" t="s">
        <v>19</v>
      </c>
      <c r="B110" s="40">
        <v>11.75</v>
      </c>
      <c r="C110" s="12" t="s">
        <v>179</v>
      </c>
      <c r="D110" s="40">
        <v>24.9</v>
      </c>
      <c r="E110" s="13">
        <f>D110*G110</f>
        <v>2.8635000000000002</v>
      </c>
      <c r="F110" s="14"/>
      <c r="G110" s="15">
        <v>0.115</v>
      </c>
      <c r="H110" s="40">
        <v>0</v>
      </c>
      <c r="I110" s="40">
        <v>17.649999999999999</v>
      </c>
      <c r="J110" s="13">
        <f t="shared" si="14"/>
        <v>22.036499999999997</v>
      </c>
      <c r="K110" s="13"/>
      <c r="L110" s="15">
        <f t="shared" si="15"/>
        <v>0.08</v>
      </c>
      <c r="M110" s="13">
        <f t="shared" si="16"/>
        <v>1.992</v>
      </c>
      <c r="N110" s="13">
        <f t="shared" si="17"/>
        <v>8.2944999999999958</v>
      </c>
      <c r="O110" s="15">
        <f t="shared" si="18"/>
        <v>0.33311244979919663</v>
      </c>
      <c r="P110" s="16">
        <f t="shared" si="19"/>
        <v>19.421487603305785</v>
      </c>
      <c r="Q110" s="41">
        <f t="shared" si="20"/>
        <v>0.2</v>
      </c>
      <c r="T110" s="42"/>
      <c r="U110" s="16">
        <f t="shared" si="21"/>
        <v>23.305785123966942</v>
      </c>
      <c r="V110" s="41">
        <f t="shared" si="22"/>
        <v>0.16666666666666663</v>
      </c>
      <c r="W110" s="17">
        <f t="shared" si="23"/>
        <v>0.30083333333333329</v>
      </c>
      <c r="X110" s="41">
        <f t="shared" si="24"/>
        <v>0.2</v>
      </c>
      <c r="Y110" s="43">
        <f t="shared" si="25"/>
        <v>3.884297520661157</v>
      </c>
      <c r="Z110" s="43">
        <f t="shared" si="26"/>
        <v>19.421487603305785</v>
      </c>
      <c r="AA110" s="44" t="str">
        <f t="shared" si="27"/>
        <v>OK</v>
      </c>
    </row>
    <row r="111" spans="1:27" ht="15" customHeight="1" x14ac:dyDescent="0.25">
      <c r="A111" s="12" t="s">
        <v>180</v>
      </c>
      <c r="B111" s="40">
        <v>50.25</v>
      </c>
      <c r="C111" s="12" t="s">
        <v>181</v>
      </c>
      <c r="D111" s="40">
        <v>120</v>
      </c>
      <c r="E111" s="14"/>
      <c r="F111" s="13">
        <f>D111*G111</f>
        <v>19.8</v>
      </c>
      <c r="G111" s="15">
        <v>0.16500000000000001</v>
      </c>
      <c r="H111" s="40">
        <v>0</v>
      </c>
      <c r="I111" s="40">
        <v>15.45</v>
      </c>
      <c r="J111" s="13">
        <f t="shared" si="14"/>
        <v>84.75</v>
      </c>
      <c r="K111" s="13"/>
      <c r="L111" s="15">
        <f t="shared" si="15"/>
        <v>0.08</v>
      </c>
      <c r="M111" s="13">
        <f t="shared" si="16"/>
        <v>9.6</v>
      </c>
      <c r="N111" s="13">
        <f t="shared" si="17"/>
        <v>24.9</v>
      </c>
      <c r="O111" s="15">
        <f t="shared" si="18"/>
        <v>0.20749999999999999</v>
      </c>
      <c r="P111" s="16">
        <f t="shared" si="19"/>
        <v>118.3783783783784</v>
      </c>
      <c r="Q111" s="41">
        <f t="shared" si="20"/>
        <v>0.20000000000000009</v>
      </c>
      <c r="T111" s="42"/>
      <c r="U111" s="16">
        <f t="shared" si="21"/>
        <v>142.05405405405406</v>
      </c>
      <c r="V111" s="41">
        <f t="shared" si="22"/>
        <v>0.16666666666666652</v>
      </c>
      <c r="W111" s="17">
        <f t="shared" si="23"/>
        <v>0.29250000000000004</v>
      </c>
      <c r="X111" s="41">
        <f t="shared" si="24"/>
        <v>0.20000000000000009</v>
      </c>
      <c r="Y111" s="43">
        <f t="shared" si="25"/>
        <v>23.675675675675691</v>
      </c>
      <c r="Z111" s="43">
        <f t="shared" si="26"/>
        <v>118.3783783783784</v>
      </c>
      <c r="AA111" s="44" t="str">
        <f t="shared" si="27"/>
        <v>OK</v>
      </c>
    </row>
    <row r="112" spans="1:27" ht="15" customHeight="1" x14ac:dyDescent="0.25">
      <c r="A112" s="12" t="s">
        <v>180</v>
      </c>
      <c r="B112" s="40">
        <v>50.25</v>
      </c>
      <c r="C112" s="12" t="s">
        <v>182</v>
      </c>
      <c r="D112" s="40">
        <v>104.9</v>
      </c>
      <c r="E112" s="13">
        <f>D112*G112</f>
        <v>12.063500000000001</v>
      </c>
      <c r="F112" s="14"/>
      <c r="G112" s="15">
        <v>0.115</v>
      </c>
      <c r="H112" s="40">
        <v>0</v>
      </c>
      <c r="I112" s="40">
        <v>15.45</v>
      </c>
      <c r="J112" s="13">
        <f t="shared" si="14"/>
        <v>77.386499999999998</v>
      </c>
      <c r="K112" s="13"/>
      <c r="L112" s="15">
        <f t="shared" si="15"/>
        <v>0.08</v>
      </c>
      <c r="M112" s="13">
        <f t="shared" si="16"/>
        <v>8.3920000000000012</v>
      </c>
      <c r="N112" s="13">
        <f t="shared" si="17"/>
        <v>18.744499999999995</v>
      </c>
      <c r="O112" s="15">
        <f t="shared" si="18"/>
        <v>0.17868922783603425</v>
      </c>
      <c r="P112" s="16">
        <f t="shared" si="19"/>
        <v>78.989999999999995</v>
      </c>
      <c r="Q112" s="41">
        <f t="shared" si="20"/>
        <v>0.16884352449677167</v>
      </c>
      <c r="T112" s="42"/>
      <c r="U112" s="16">
        <f t="shared" si="21"/>
        <v>94.787999999999997</v>
      </c>
      <c r="V112" s="41">
        <f t="shared" si="22"/>
        <v>0.16666666666666674</v>
      </c>
      <c r="W112" s="17">
        <f t="shared" si="23"/>
        <v>0.11187428788454228</v>
      </c>
      <c r="X112" s="41">
        <f t="shared" si="24"/>
        <v>0.16884352449677167</v>
      </c>
      <c r="Y112" s="43">
        <f t="shared" si="25"/>
        <v>13.336949999999995</v>
      </c>
      <c r="Z112" s="43">
        <f t="shared" si="26"/>
        <v>78.989999999999995</v>
      </c>
      <c r="AA112" s="44" t="str">
        <f t="shared" si="27"/>
        <v>Forçado &lt;79 (evita frete)</v>
      </c>
    </row>
    <row r="113" spans="1:27" ht="15" customHeight="1" x14ac:dyDescent="0.25">
      <c r="A113" s="12" t="s">
        <v>180</v>
      </c>
      <c r="B113" s="40">
        <v>50.25</v>
      </c>
      <c r="C113" s="12" t="s">
        <v>183</v>
      </c>
      <c r="D113" s="40">
        <v>104.9</v>
      </c>
      <c r="E113" s="13">
        <f>D113*G113</f>
        <v>12.063500000000001</v>
      </c>
      <c r="F113" s="14"/>
      <c r="G113" s="15">
        <v>0.115</v>
      </c>
      <c r="H113" s="40">
        <v>0</v>
      </c>
      <c r="I113" s="40">
        <v>12.35</v>
      </c>
      <c r="J113" s="13">
        <f t="shared" si="14"/>
        <v>80.486500000000007</v>
      </c>
      <c r="K113" s="13"/>
      <c r="L113" s="15">
        <f t="shared" si="15"/>
        <v>0.08</v>
      </c>
      <c r="M113" s="13">
        <f t="shared" si="16"/>
        <v>8.3920000000000012</v>
      </c>
      <c r="N113" s="13">
        <f t="shared" si="17"/>
        <v>21.844500000000004</v>
      </c>
      <c r="O113" s="15">
        <f t="shared" si="18"/>
        <v>0.20824118207816972</v>
      </c>
      <c r="P113" s="16">
        <f t="shared" si="19"/>
        <v>78.989999999999995</v>
      </c>
      <c r="Q113" s="41">
        <f t="shared" si="20"/>
        <v>0.16884352449677167</v>
      </c>
      <c r="T113" s="42"/>
      <c r="U113" s="16">
        <f t="shared" si="21"/>
        <v>94.787999999999997</v>
      </c>
      <c r="V113" s="41">
        <f t="shared" si="22"/>
        <v>0.16666666666666674</v>
      </c>
      <c r="W113" s="17">
        <f t="shared" si="23"/>
        <v>0.1445788496434148</v>
      </c>
      <c r="X113" s="41">
        <f t="shared" si="24"/>
        <v>0.16884352449677167</v>
      </c>
      <c r="Y113" s="43">
        <f t="shared" si="25"/>
        <v>13.336949999999995</v>
      </c>
      <c r="Z113" s="43">
        <f t="shared" si="26"/>
        <v>78.989999999999995</v>
      </c>
      <c r="AA113" s="44" t="str">
        <f t="shared" si="27"/>
        <v>Forçado &lt;79 (evita frete)</v>
      </c>
    </row>
    <row r="114" spans="1:27" ht="15" customHeight="1" x14ac:dyDescent="0.25">
      <c r="A114" s="12" t="s">
        <v>184</v>
      </c>
      <c r="B114" s="40">
        <v>40.25</v>
      </c>
      <c r="C114" s="12" t="s">
        <v>185</v>
      </c>
      <c r="D114" s="40">
        <v>89.9</v>
      </c>
      <c r="E114" s="14"/>
      <c r="F114" s="13">
        <f>D114*G114</f>
        <v>14.833500000000001</v>
      </c>
      <c r="G114" s="15">
        <v>0.16500000000000001</v>
      </c>
      <c r="H114" s="40">
        <v>0</v>
      </c>
      <c r="I114" s="40">
        <v>17.649999999999999</v>
      </c>
      <c r="J114" s="13">
        <f t="shared" si="14"/>
        <v>57.416500000000006</v>
      </c>
      <c r="K114" s="13"/>
      <c r="L114" s="15">
        <f t="shared" si="15"/>
        <v>0.08</v>
      </c>
      <c r="M114" s="13">
        <f t="shared" si="16"/>
        <v>7.1920000000000002</v>
      </c>
      <c r="N114" s="13">
        <f t="shared" si="17"/>
        <v>9.9745000000000061</v>
      </c>
      <c r="O114" s="15">
        <f t="shared" si="18"/>
        <v>0.11095105672969972</v>
      </c>
      <c r="P114" s="16">
        <f t="shared" si="19"/>
        <v>72.522522522522536</v>
      </c>
      <c r="Q114" s="41">
        <f t="shared" si="20"/>
        <v>0.20000000000000015</v>
      </c>
      <c r="T114" s="42"/>
      <c r="U114" s="16">
        <f t="shared" si="21"/>
        <v>87.027027027027046</v>
      </c>
      <c r="V114" s="41">
        <f t="shared" si="22"/>
        <v>0.16666666666666674</v>
      </c>
      <c r="W114" s="17">
        <f t="shared" si="23"/>
        <v>8.9689440993789005E-2</v>
      </c>
      <c r="X114" s="41">
        <f t="shared" si="24"/>
        <v>0.20000000000000015</v>
      </c>
      <c r="Y114" s="43">
        <f t="shared" si="25"/>
        <v>14.504504504504517</v>
      </c>
      <c r="Z114" s="43">
        <f t="shared" si="26"/>
        <v>72.522522522522536</v>
      </c>
      <c r="AA114" s="44" t="str">
        <f t="shared" si="27"/>
        <v>OK</v>
      </c>
    </row>
    <row r="115" spans="1:27" ht="15" customHeight="1" x14ac:dyDescent="0.25">
      <c r="A115" s="12" t="s">
        <v>180</v>
      </c>
      <c r="B115" s="40">
        <v>50.25</v>
      </c>
      <c r="C115" s="12" t="s">
        <v>186</v>
      </c>
      <c r="D115" s="40">
        <v>120</v>
      </c>
      <c r="E115" s="14"/>
      <c r="F115" s="13">
        <f>D115*G115</f>
        <v>19.8</v>
      </c>
      <c r="G115" s="15">
        <v>0.16500000000000001</v>
      </c>
      <c r="H115" s="40">
        <v>7.75</v>
      </c>
      <c r="I115" s="40">
        <v>0</v>
      </c>
      <c r="J115" s="13">
        <f t="shared" si="14"/>
        <v>100.2</v>
      </c>
      <c r="K115" s="13"/>
      <c r="L115" s="15">
        <f t="shared" si="15"/>
        <v>0.08</v>
      </c>
      <c r="M115" s="13">
        <f t="shared" si="16"/>
        <v>9.6</v>
      </c>
      <c r="N115" s="13">
        <f t="shared" si="17"/>
        <v>40.35</v>
      </c>
      <c r="O115" s="15">
        <f t="shared" si="18"/>
        <v>0.33624999999999999</v>
      </c>
      <c r="P115" s="16">
        <f t="shared" si="19"/>
        <v>90.540540540540547</v>
      </c>
      <c r="Q115" s="41">
        <f t="shared" si="20"/>
        <v>0.20000000000000004</v>
      </c>
      <c r="T115" s="42"/>
      <c r="U115" s="16">
        <f t="shared" si="21"/>
        <v>108.64864864864866</v>
      </c>
      <c r="V115" s="41">
        <f t="shared" si="22"/>
        <v>0.16666666666666674</v>
      </c>
      <c r="W115" s="17">
        <f t="shared" si="23"/>
        <v>0.29250000000000004</v>
      </c>
      <c r="X115" s="41">
        <f t="shared" si="24"/>
        <v>0.20000000000000004</v>
      </c>
      <c r="Y115" s="43">
        <f t="shared" si="25"/>
        <v>18.108108108108112</v>
      </c>
      <c r="Z115" s="43">
        <f t="shared" si="26"/>
        <v>90.540540540540547</v>
      </c>
      <c r="AA115" s="44" t="str">
        <f t="shared" si="27"/>
        <v>⚠ Subiu p/ frete (I=0)</v>
      </c>
    </row>
    <row r="116" spans="1:27" ht="15" customHeight="1" x14ac:dyDescent="0.25">
      <c r="A116" s="12" t="s">
        <v>184</v>
      </c>
      <c r="B116" s="40">
        <v>40.25</v>
      </c>
      <c r="C116" s="12" t="s">
        <v>187</v>
      </c>
      <c r="D116" s="40">
        <v>77.900000000000006</v>
      </c>
      <c r="E116" s="13">
        <f>D116*G116</f>
        <v>8.9585000000000008</v>
      </c>
      <c r="F116" s="14"/>
      <c r="G116" s="15">
        <v>0.115</v>
      </c>
      <c r="H116" s="40">
        <v>0</v>
      </c>
      <c r="I116" s="40">
        <v>12.35</v>
      </c>
      <c r="J116" s="13">
        <f t="shared" si="14"/>
        <v>68.941500000000005</v>
      </c>
      <c r="K116" s="13"/>
      <c r="L116" s="15">
        <f t="shared" si="15"/>
        <v>0.08</v>
      </c>
      <c r="M116" s="13">
        <f t="shared" si="16"/>
        <v>6.2320000000000002</v>
      </c>
      <c r="N116" s="13">
        <f t="shared" si="17"/>
        <v>22.459500000000006</v>
      </c>
      <c r="O116" s="15">
        <f t="shared" si="18"/>
        <v>0.28831193838254177</v>
      </c>
      <c r="P116" s="16">
        <f t="shared" si="19"/>
        <v>66.528925619834709</v>
      </c>
      <c r="Q116" s="41">
        <f t="shared" si="20"/>
        <v>0.1999999999999999</v>
      </c>
      <c r="T116" s="42"/>
      <c r="U116" s="16">
        <f t="shared" si="21"/>
        <v>79.834710743801651</v>
      </c>
      <c r="V116" s="41">
        <f t="shared" si="22"/>
        <v>0.16666666666666663</v>
      </c>
      <c r="W116" s="17">
        <f t="shared" si="23"/>
        <v>0.14613871635610762</v>
      </c>
      <c r="X116" s="41">
        <f t="shared" si="24"/>
        <v>0.1999999999999999</v>
      </c>
      <c r="Y116" s="43">
        <f t="shared" si="25"/>
        <v>13.305785123966935</v>
      </c>
      <c r="Z116" s="43">
        <f t="shared" si="26"/>
        <v>66.528925619834709</v>
      </c>
      <c r="AA116" s="44" t="str">
        <f t="shared" si="27"/>
        <v>OK</v>
      </c>
    </row>
    <row r="117" spans="1:27" ht="15" customHeight="1" x14ac:dyDescent="0.25">
      <c r="A117" s="12" t="s">
        <v>184</v>
      </c>
      <c r="B117" s="40">
        <v>40.25</v>
      </c>
      <c r="C117" s="12" t="s">
        <v>188</v>
      </c>
      <c r="D117" s="40">
        <v>89.9</v>
      </c>
      <c r="E117" s="14"/>
      <c r="F117" s="13">
        <f>D117*G117</f>
        <v>14.833500000000001</v>
      </c>
      <c r="G117" s="15">
        <v>0.16500000000000001</v>
      </c>
      <c r="H117" s="40">
        <v>7.75</v>
      </c>
      <c r="I117" s="40">
        <v>0</v>
      </c>
      <c r="J117" s="13">
        <f t="shared" si="14"/>
        <v>75.066500000000005</v>
      </c>
      <c r="K117" s="13"/>
      <c r="L117" s="15">
        <f t="shared" si="15"/>
        <v>0.08</v>
      </c>
      <c r="M117" s="13">
        <f t="shared" si="16"/>
        <v>7.1920000000000002</v>
      </c>
      <c r="N117" s="13">
        <f t="shared" si="17"/>
        <v>27.624500000000005</v>
      </c>
      <c r="O117" s="15">
        <f t="shared" si="18"/>
        <v>0.30728031145717466</v>
      </c>
      <c r="P117" s="16">
        <f t="shared" si="19"/>
        <v>79</v>
      </c>
      <c r="Q117" s="41">
        <f t="shared" si="20"/>
        <v>0.24550632911392409</v>
      </c>
      <c r="T117" s="42"/>
      <c r="U117" s="16">
        <f t="shared" si="21"/>
        <v>94.8</v>
      </c>
      <c r="V117" s="41">
        <f t="shared" si="22"/>
        <v>0.16666666666666663</v>
      </c>
      <c r="W117" s="17">
        <f t="shared" si="23"/>
        <v>0.33042194092827004</v>
      </c>
      <c r="X117" s="41">
        <f t="shared" si="24"/>
        <v>0.24550632911392409</v>
      </c>
      <c r="Y117" s="43">
        <f t="shared" si="25"/>
        <v>19.395000000000003</v>
      </c>
      <c r="Z117" s="43">
        <f t="shared" si="26"/>
        <v>79</v>
      </c>
      <c r="AA117" s="44" t="str">
        <f t="shared" si="27"/>
        <v>⚠ Subiu p/ frete (I=0)</v>
      </c>
    </row>
    <row r="118" spans="1:27" ht="15" customHeight="1" x14ac:dyDescent="0.25">
      <c r="A118" s="12" t="s">
        <v>184</v>
      </c>
      <c r="B118" s="40">
        <v>40.25</v>
      </c>
      <c r="C118" s="12" t="s">
        <v>189</v>
      </c>
      <c r="D118" s="40">
        <v>77.900000000000006</v>
      </c>
      <c r="E118" s="13">
        <f>D118*G118</f>
        <v>8.9585000000000008</v>
      </c>
      <c r="F118" s="14"/>
      <c r="G118" s="15">
        <v>0.115</v>
      </c>
      <c r="H118" s="40">
        <v>6.65</v>
      </c>
      <c r="I118" s="40">
        <v>0</v>
      </c>
      <c r="J118" s="13">
        <f t="shared" si="14"/>
        <v>62.291500000000006</v>
      </c>
      <c r="K118" s="13"/>
      <c r="L118" s="15">
        <f t="shared" si="15"/>
        <v>0.08</v>
      </c>
      <c r="M118" s="13">
        <f t="shared" si="16"/>
        <v>6.2320000000000002</v>
      </c>
      <c r="N118" s="13">
        <f t="shared" si="17"/>
        <v>15.809500000000007</v>
      </c>
      <c r="O118" s="15">
        <f t="shared" si="18"/>
        <v>0.20294608472400522</v>
      </c>
      <c r="P118" s="16">
        <f t="shared" si="19"/>
        <v>77.52066115702479</v>
      </c>
      <c r="Q118" s="41">
        <f t="shared" si="20"/>
        <v>0.2</v>
      </c>
      <c r="T118" s="42"/>
      <c r="U118" s="16">
        <f t="shared" si="21"/>
        <v>93.024793388429742</v>
      </c>
      <c r="V118" s="41">
        <f t="shared" si="22"/>
        <v>0.16666666666666663</v>
      </c>
      <c r="W118" s="17">
        <f t="shared" si="23"/>
        <v>0.3723196517412935</v>
      </c>
      <c r="X118" s="41">
        <f t="shared" si="24"/>
        <v>0.2</v>
      </c>
      <c r="Y118" s="43">
        <f t="shared" si="25"/>
        <v>15.504132231404959</v>
      </c>
      <c r="Z118" s="43">
        <f t="shared" si="26"/>
        <v>77.52066115702479</v>
      </c>
      <c r="AA118" s="44" t="str">
        <f t="shared" si="27"/>
        <v>OK</v>
      </c>
    </row>
    <row r="119" spans="1:27" ht="15" customHeight="1" x14ac:dyDescent="0.25">
      <c r="A119" s="12" t="s">
        <v>190</v>
      </c>
      <c r="B119" s="40">
        <v>10.75</v>
      </c>
      <c r="C119" s="12" t="s">
        <v>191</v>
      </c>
      <c r="D119" s="40">
        <v>25.9</v>
      </c>
      <c r="E119" s="13">
        <f>D119*G119</f>
        <v>2.9784999999999999</v>
      </c>
      <c r="F119" s="14"/>
      <c r="G119" s="15">
        <v>0.115</v>
      </c>
      <c r="H119" s="40">
        <v>0</v>
      </c>
      <c r="I119" s="40">
        <v>12.35</v>
      </c>
      <c r="J119" s="13">
        <f t="shared" si="14"/>
        <v>22.921499999999998</v>
      </c>
      <c r="K119" s="13"/>
      <c r="L119" s="15">
        <f t="shared" si="15"/>
        <v>0.08</v>
      </c>
      <c r="M119" s="13">
        <f t="shared" si="16"/>
        <v>2.0720000000000001</v>
      </c>
      <c r="N119" s="13">
        <f t="shared" si="17"/>
        <v>10.099499999999999</v>
      </c>
      <c r="O119" s="15">
        <f t="shared" si="18"/>
        <v>0.38994208494208493</v>
      </c>
      <c r="P119" s="16">
        <f t="shared" si="19"/>
        <v>17.768595041322314</v>
      </c>
      <c r="Q119" s="41">
        <f t="shared" si="20"/>
        <v>0.19999999999999996</v>
      </c>
      <c r="T119" s="42"/>
      <c r="U119" s="16">
        <f t="shared" si="21"/>
        <v>21.322314049586776</v>
      </c>
      <c r="V119" s="41">
        <f t="shared" si="22"/>
        <v>0.16666666666666663</v>
      </c>
      <c r="W119" s="17">
        <f t="shared" si="23"/>
        <v>0.30083333333333323</v>
      </c>
      <c r="X119" s="41">
        <f t="shared" si="24"/>
        <v>0.19999999999999996</v>
      </c>
      <c r="Y119" s="43">
        <f t="shared" si="25"/>
        <v>3.5537190082644621</v>
      </c>
      <c r="Z119" s="43">
        <f t="shared" si="26"/>
        <v>17.768595041322314</v>
      </c>
      <c r="AA119" s="44" t="str">
        <f t="shared" si="27"/>
        <v>OK</v>
      </c>
    </row>
    <row r="120" spans="1:27" ht="15" customHeight="1" x14ac:dyDescent="0.25">
      <c r="A120" s="12" t="s">
        <v>192</v>
      </c>
      <c r="B120" s="40">
        <v>45.25</v>
      </c>
      <c r="C120" s="12" t="s">
        <v>193</v>
      </c>
      <c r="D120" s="40">
        <v>99.9</v>
      </c>
      <c r="E120" s="14"/>
      <c r="F120" s="13">
        <f>D120*G120</f>
        <v>16.483500000000003</v>
      </c>
      <c r="G120" s="15">
        <v>0.16500000000000001</v>
      </c>
      <c r="H120" s="40">
        <v>0</v>
      </c>
      <c r="I120" s="40">
        <v>12.35</v>
      </c>
      <c r="J120" s="13">
        <f t="shared" si="14"/>
        <v>71.066500000000005</v>
      </c>
      <c r="K120" s="13"/>
      <c r="L120" s="15">
        <f t="shared" si="15"/>
        <v>0.08</v>
      </c>
      <c r="M120" s="13">
        <f t="shared" si="16"/>
        <v>7.9920000000000009</v>
      </c>
      <c r="N120" s="13">
        <f t="shared" si="17"/>
        <v>17.824500000000004</v>
      </c>
      <c r="O120" s="15">
        <f t="shared" si="18"/>
        <v>0.17842342342342346</v>
      </c>
      <c r="P120" s="16">
        <f t="shared" si="19"/>
        <v>78.989999999999995</v>
      </c>
      <c r="Q120" s="41">
        <f t="shared" si="20"/>
        <v>0.18214267628813768</v>
      </c>
      <c r="T120" s="42"/>
      <c r="U120" s="16">
        <f t="shared" si="21"/>
        <v>94.787999999999997</v>
      </c>
      <c r="V120" s="41">
        <f t="shared" si="22"/>
        <v>0.16666666666666674</v>
      </c>
      <c r="W120" s="17">
        <f t="shared" si="23"/>
        <v>0.14732814280288642</v>
      </c>
      <c r="X120" s="41">
        <f t="shared" si="24"/>
        <v>0.18214267628813768</v>
      </c>
      <c r="Y120" s="43">
        <f t="shared" si="25"/>
        <v>14.387449999999994</v>
      </c>
      <c r="Z120" s="43">
        <f t="shared" si="26"/>
        <v>78.989999999999995</v>
      </c>
      <c r="AA120" s="44" t="str">
        <f t="shared" si="27"/>
        <v>Forçado &lt;79 (evita frete)</v>
      </c>
    </row>
    <row r="121" spans="1:27" ht="15" customHeight="1" x14ac:dyDescent="0.25">
      <c r="A121" s="12" t="s">
        <v>192</v>
      </c>
      <c r="B121" s="40">
        <v>45.25</v>
      </c>
      <c r="C121" s="12" t="s">
        <v>194</v>
      </c>
      <c r="D121" s="40">
        <v>99.9</v>
      </c>
      <c r="E121" s="14"/>
      <c r="F121" s="13">
        <f>D121*G121</f>
        <v>16.483500000000003</v>
      </c>
      <c r="G121" s="15">
        <v>0.16500000000000001</v>
      </c>
      <c r="H121" s="40">
        <v>7.75</v>
      </c>
      <c r="I121" s="40">
        <v>0</v>
      </c>
      <c r="J121" s="13">
        <f t="shared" si="14"/>
        <v>83.416499999999999</v>
      </c>
      <c r="K121" s="13"/>
      <c r="L121" s="15">
        <f t="shared" si="15"/>
        <v>0.08</v>
      </c>
      <c r="M121" s="13">
        <f t="shared" si="16"/>
        <v>7.9920000000000009</v>
      </c>
      <c r="N121" s="13">
        <f t="shared" si="17"/>
        <v>30.174499999999998</v>
      </c>
      <c r="O121" s="15">
        <f t="shared" si="18"/>
        <v>0.30204704704704699</v>
      </c>
      <c r="P121" s="16">
        <f t="shared" si="19"/>
        <v>81.531531531531542</v>
      </c>
      <c r="Q121" s="41">
        <f t="shared" si="20"/>
        <v>0.20000000000000004</v>
      </c>
      <c r="T121" s="42"/>
      <c r="U121" s="16">
        <f t="shared" si="21"/>
        <v>97.837837837837853</v>
      </c>
      <c r="V121" s="41">
        <f t="shared" si="22"/>
        <v>0.16666666666666674</v>
      </c>
      <c r="W121" s="17">
        <f t="shared" si="23"/>
        <v>0.29250000000000004</v>
      </c>
      <c r="X121" s="41">
        <f t="shared" si="24"/>
        <v>0.20000000000000004</v>
      </c>
      <c r="Y121" s="43">
        <f t="shared" si="25"/>
        <v>16.306306306306311</v>
      </c>
      <c r="Z121" s="43">
        <f t="shared" si="26"/>
        <v>81.531531531531542</v>
      </c>
      <c r="AA121" s="44" t="str">
        <f t="shared" si="27"/>
        <v>⚠ Subiu p/ frete (I=0)</v>
      </c>
    </row>
    <row r="122" spans="1:27" ht="15" customHeight="1" x14ac:dyDescent="0.25">
      <c r="A122" s="12" t="s">
        <v>92</v>
      </c>
      <c r="B122" s="45" t="s">
        <v>32</v>
      </c>
      <c r="C122" s="12" t="s">
        <v>195</v>
      </c>
      <c r="D122" s="40">
        <v>78.900000000000006</v>
      </c>
      <c r="E122" s="13">
        <f>D122*G122</f>
        <v>9.073500000000001</v>
      </c>
      <c r="F122" s="14"/>
      <c r="G122" s="15">
        <v>0.115</v>
      </c>
      <c r="H122" s="40">
        <v>7.85</v>
      </c>
      <c r="I122" s="40">
        <v>0</v>
      </c>
      <c r="J122" s="13">
        <f t="shared" si="14"/>
        <v>61.976500000000009</v>
      </c>
      <c r="K122" s="14"/>
      <c r="L122" s="15">
        <f t="shared" si="15"/>
        <v>0.08</v>
      </c>
      <c r="M122" s="13">
        <f t="shared" si="16"/>
        <v>6.3120000000000003</v>
      </c>
      <c r="N122" s="13">
        <f t="shared" si="17"/>
        <v>55.664500000000011</v>
      </c>
      <c r="O122" s="15">
        <f t="shared" si="18"/>
        <v>0.70550697084917624</v>
      </c>
      <c r="P122" s="16" t="str">
        <f t="shared" si="19"/>
        <v/>
      </c>
      <c r="Q122" s="41" t="str">
        <f t="shared" si="20"/>
        <v/>
      </c>
      <c r="T122" s="42"/>
      <c r="U122" s="16" t="str">
        <f t="shared" si="21"/>
        <v/>
      </c>
      <c r="V122" s="41" t="str">
        <f t="shared" si="22"/>
        <v/>
      </c>
      <c r="W122" s="17" t="str">
        <f t="shared" si="23"/>
        <v/>
      </c>
      <c r="X122" s="41" t="str">
        <f t="shared" si="24"/>
        <v/>
      </c>
      <c r="Y122" s="43" t="str">
        <f t="shared" si="25"/>
        <v/>
      </c>
      <c r="Z122" s="43" t="str">
        <f t="shared" si="26"/>
        <v/>
      </c>
      <c r="AA122" s="44" t="str">
        <f t="shared" si="27"/>
        <v>Sem custo</v>
      </c>
    </row>
    <row r="123" spans="1:27" ht="15" customHeight="1" x14ac:dyDescent="0.25">
      <c r="A123" s="12" t="s">
        <v>92</v>
      </c>
      <c r="B123" s="45" t="s">
        <v>32</v>
      </c>
      <c r="C123" s="12" t="s">
        <v>196</v>
      </c>
      <c r="D123" s="40">
        <v>49.9</v>
      </c>
      <c r="E123" s="13">
        <f>D123*G123</f>
        <v>5.7385000000000002</v>
      </c>
      <c r="F123" s="14"/>
      <c r="G123" s="15">
        <v>0.115</v>
      </c>
      <c r="H123" s="40">
        <v>0</v>
      </c>
      <c r="I123" s="40">
        <v>14.35</v>
      </c>
      <c r="J123" s="13">
        <f t="shared" si="14"/>
        <v>44.161499999999997</v>
      </c>
      <c r="K123" s="14"/>
      <c r="L123" s="15">
        <f t="shared" si="15"/>
        <v>0.08</v>
      </c>
      <c r="M123" s="13">
        <f t="shared" si="16"/>
        <v>3.992</v>
      </c>
      <c r="N123" s="13">
        <f t="shared" si="17"/>
        <v>40.169499999999999</v>
      </c>
      <c r="O123" s="15">
        <f t="shared" si="18"/>
        <v>0.80500000000000005</v>
      </c>
      <c r="P123" s="16" t="str">
        <f t="shared" si="19"/>
        <v/>
      </c>
      <c r="Q123" s="41" t="str">
        <f t="shared" si="20"/>
        <v/>
      </c>
      <c r="T123" s="42"/>
      <c r="U123" s="16" t="str">
        <f t="shared" si="21"/>
        <v/>
      </c>
      <c r="V123" s="41" t="str">
        <f t="shared" si="22"/>
        <v/>
      </c>
      <c r="W123" s="17" t="str">
        <f t="shared" si="23"/>
        <v/>
      </c>
      <c r="X123" s="41" t="str">
        <f t="shared" si="24"/>
        <v/>
      </c>
      <c r="Y123" s="43" t="str">
        <f t="shared" si="25"/>
        <v/>
      </c>
      <c r="Z123" s="43" t="str">
        <f t="shared" si="26"/>
        <v/>
      </c>
      <c r="AA123" s="44" t="str">
        <f t="shared" si="27"/>
        <v>Sem custo</v>
      </c>
    </row>
    <row r="124" spans="1:27" ht="15" customHeight="1" x14ac:dyDescent="0.25">
      <c r="A124" s="12" t="s">
        <v>92</v>
      </c>
      <c r="B124" s="45" t="s">
        <v>32</v>
      </c>
      <c r="C124" s="12" t="s">
        <v>197</v>
      </c>
      <c r="D124" s="40">
        <v>109.9</v>
      </c>
      <c r="E124" s="14"/>
      <c r="F124" s="13">
        <f>D124*G124</f>
        <v>18.133500000000002</v>
      </c>
      <c r="G124" s="15">
        <v>0.16500000000000001</v>
      </c>
      <c r="H124" s="40">
        <v>6.65</v>
      </c>
      <c r="I124" s="40">
        <v>0</v>
      </c>
      <c r="J124" s="13">
        <f t="shared" si="14"/>
        <v>91.766500000000008</v>
      </c>
      <c r="K124" s="14"/>
      <c r="L124" s="15">
        <f t="shared" si="15"/>
        <v>0.08</v>
      </c>
      <c r="M124" s="13">
        <f t="shared" si="16"/>
        <v>8.7919999999999998</v>
      </c>
      <c r="N124" s="13">
        <f t="shared" si="17"/>
        <v>82.974500000000006</v>
      </c>
      <c r="O124" s="15">
        <f t="shared" si="18"/>
        <v>0.755</v>
      </c>
      <c r="P124" s="16" t="str">
        <f t="shared" si="19"/>
        <v/>
      </c>
      <c r="Q124" s="41" t="str">
        <f t="shared" si="20"/>
        <v/>
      </c>
      <c r="T124" s="42"/>
      <c r="U124" s="16" t="str">
        <f t="shared" si="21"/>
        <v/>
      </c>
      <c r="V124" s="41" t="str">
        <f t="shared" si="22"/>
        <v/>
      </c>
      <c r="W124" s="17" t="str">
        <f t="shared" si="23"/>
        <v/>
      </c>
      <c r="X124" s="41" t="str">
        <f t="shared" si="24"/>
        <v/>
      </c>
      <c r="Y124" s="43" t="str">
        <f t="shared" si="25"/>
        <v/>
      </c>
      <c r="Z124" s="43" t="str">
        <f t="shared" si="26"/>
        <v/>
      </c>
      <c r="AA124" s="44" t="str">
        <f t="shared" si="27"/>
        <v>Sem custo</v>
      </c>
    </row>
    <row r="125" spans="1:27" ht="15" customHeight="1" x14ac:dyDescent="0.25">
      <c r="A125" s="12" t="s">
        <v>198</v>
      </c>
      <c r="B125" s="40">
        <v>7.7</v>
      </c>
      <c r="C125" s="12" t="s">
        <v>199</v>
      </c>
      <c r="D125" s="40">
        <v>23.9</v>
      </c>
      <c r="E125" s="13">
        <f t="shared" ref="E125:E134" si="29">D125*G125</f>
        <v>2.7484999999999999</v>
      </c>
      <c r="F125" s="14"/>
      <c r="G125" s="15">
        <v>0.115</v>
      </c>
      <c r="H125" s="40">
        <v>7.95</v>
      </c>
      <c r="I125" s="40">
        <v>0</v>
      </c>
      <c r="J125" s="13">
        <f t="shared" si="14"/>
        <v>13.201499999999999</v>
      </c>
      <c r="K125" s="13"/>
      <c r="L125" s="15">
        <f t="shared" si="15"/>
        <v>0.08</v>
      </c>
      <c r="M125" s="13">
        <f t="shared" si="16"/>
        <v>1.9119999999999999</v>
      </c>
      <c r="N125" s="13">
        <f t="shared" si="17"/>
        <v>3.5894999999999992</v>
      </c>
      <c r="O125" s="15">
        <f t="shared" si="18"/>
        <v>0.15018828451882843</v>
      </c>
      <c r="P125" s="16">
        <f t="shared" si="19"/>
        <v>25.867768595041323</v>
      </c>
      <c r="Q125" s="41">
        <f t="shared" si="20"/>
        <v>0.20000000000000004</v>
      </c>
      <c r="T125" s="42"/>
      <c r="U125" s="16">
        <f t="shared" si="21"/>
        <v>31.041322314049587</v>
      </c>
      <c r="V125" s="41">
        <f t="shared" si="22"/>
        <v>0.16666666666666663</v>
      </c>
      <c r="W125" s="17">
        <f t="shared" si="23"/>
        <v>0.30083333333333334</v>
      </c>
      <c r="X125" s="41">
        <f t="shared" si="24"/>
        <v>0.20000000000000004</v>
      </c>
      <c r="Y125" s="43">
        <f t="shared" si="25"/>
        <v>5.1735537190082654</v>
      </c>
      <c r="Z125" s="43">
        <f t="shared" si="26"/>
        <v>25.867768595041323</v>
      </c>
      <c r="AA125" s="44" t="str">
        <f t="shared" si="27"/>
        <v>OK</v>
      </c>
    </row>
    <row r="126" spans="1:27" ht="15" customHeight="1" x14ac:dyDescent="0.25">
      <c r="A126" s="12" t="s">
        <v>200</v>
      </c>
      <c r="B126" s="40">
        <v>10.59</v>
      </c>
      <c r="C126" s="12" t="s">
        <v>201</v>
      </c>
      <c r="D126" s="40">
        <v>27.9</v>
      </c>
      <c r="E126" s="13">
        <f t="shared" si="29"/>
        <v>3.2084999999999999</v>
      </c>
      <c r="F126" s="14"/>
      <c r="G126" s="15">
        <v>0.115</v>
      </c>
      <c r="H126" s="40">
        <v>6.65</v>
      </c>
      <c r="I126" s="40">
        <v>0</v>
      </c>
      <c r="J126" s="13">
        <f t="shared" si="14"/>
        <v>18.041499999999999</v>
      </c>
      <c r="K126" s="13"/>
      <c r="L126" s="15">
        <f t="shared" si="15"/>
        <v>0.08</v>
      </c>
      <c r="M126" s="13">
        <f t="shared" si="16"/>
        <v>2.2319999999999998</v>
      </c>
      <c r="N126" s="13">
        <f t="shared" si="17"/>
        <v>5.2195</v>
      </c>
      <c r="O126" s="15">
        <f t="shared" si="18"/>
        <v>0.187078853046595</v>
      </c>
      <c r="P126" s="16">
        <f t="shared" si="19"/>
        <v>28.495867768595044</v>
      </c>
      <c r="Q126" s="41">
        <f t="shared" si="20"/>
        <v>0.20000000000000004</v>
      </c>
      <c r="T126" s="42"/>
      <c r="U126" s="16">
        <f t="shared" si="21"/>
        <v>34.195041322314054</v>
      </c>
      <c r="V126" s="41">
        <f t="shared" si="22"/>
        <v>0.16666666666666674</v>
      </c>
      <c r="W126" s="17">
        <f t="shared" si="23"/>
        <v>0.30083333333333329</v>
      </c>
      <c r="X126" s="41">
        <f t="shared" si="24"/>
        <v>0.20000000000000004</v>
      </c>
      <c r="Y126" s="43">
        <f t="shared" si="25"/>
        <v>5.6991735537190102</v>
      </c>
      <c r="Z126" s="43">
        <f t="shared" si="26"/>
        <v>28.495867768595044</v>
      </c>
      <c r="AA126" s="44" t="str">
        <f t="shared" si="27"/>
        <v>OK</v>
      </c>
    </row>
    <row r="127" spans="1:27" ht="15" customHeight="1" x14ac:dyDescent="0.25">
      <c r="A127" s="12" t="s">
        <v>202</v>
      </c>
      <c r="B127" s="40">
        <v>10.46</v>
      </c>
      <c r="C127" s="12" t="s">
        <v>203</v>
      </c>
      <c r="D127" s="40">
        <v>25.9</v>
      </c>
      <c r="E127" s="13">
        <f t="shared" si="29"/>
        <v>2.9784999999999999</v>
      </c>
      <c r="F127" s="14"/>
      <c r="G127" s="15">
        <v>0.115</v>
      </c>
      <c r="H127" s="40">
        <v>6.65</v>
      </c>
      <c r="I127" s="40">
        <v>0</v>
      </c>
      <c r="J127" s="13">
        <f t="shared" si="14"/>
        <v>16.271499999999996</v>
      </c>
      <c r="K127" s="13"/>
      <c r="L127" s="15">
        <f t="shared" si="15"/>
        <v>0.08</v>
      </c>
      <c r="M127" s="13">
        <f t="shared" si="16"/>
        <v>2.0720000000000001</v>
      </c>
      <c r="N127" s="13">
        <f t="shared" si="17"/>
        <v>3.7394999999999952</v>
      </c>
      <c r="O127" s="15">
        <f t="shared" si="18"/>
        <v>0.14438223938223921</v>
      </c>
      <c r="P127" s="16">
        <f t="shared" si="19"/>
        <v>28.280991735537189</v>
      </c>
      <c r="Q127" s="41">
        <f t="shared" si="20"/>
        <v>0.2</v>
      </c>
      <c r="T127" s="42"/>
      <c r="U127" s="16">
        <f t="shared" si="21"/>
        <v>33.937190082644626</v>
      </c>
      <c r="V127" s="41">
        <f t="shared" si="22"/>
        <v>0.16666666666666663</v>
      </c>
      <c r="W127" s="17">
        <f t="shared" si="23"/>
        <v>0.30083333333333323</v>
      </c>
      <c r="X127" s="41">
        <f t="shared" si="24"/>
        <v>0.2</v>
      </c>
      <c r="Y127" s="43">
        <f t="shared" si="25"/>
        <v>5.6561983471074377</v>
      </c>
      <c r="Z127" s="43">
        <f t="shared" si="26"/>
        <v>28.280991735537189</v>
      </c>
      <c r="AA127" s="44" t="str">
        <f t="shared" si="27"/>
        <v>OK</v>
      </c>
    </row>
    <row r="128" spans="1:27" ht="15" customHeight="1" x14ac:dyDescent="0.25">
      <c r="A128" s="12" t="s">
        <v>204</v>
      </c>
      <c r="B128" s="40">
        <v>7.92</v>
      </c>
      <c r="C128" s="12" t="s">
        <v>205</v>
      </c>
      <c r="D128" s="40">
        <v>21.9</v>
      </c>
      <c r="E128" s="13">
        <f t="shared" si="29"/>
        <v>2.5185</v>
      </c>
      <c r="F128" s="14"/>
      <c r="G128" s="15">
        <v>0.115</v>
      </c>
      <c r="H128" s="40">
        <v>8.5500000000000007</v>
      </c>
      <c r="I128" s="40">
        <v>0</v>
      </c>
      <c r="J128" s="13">
        <f t="shared" si="14"/>
        <v>10.831499999999998</v>
      </c>
      <c r="K128" s="13"/>
      <c r="L128" s="15">
        <f t="shared" si="15"/>
        <v>0.08</v>
      </c>
      <c r="M128" s="13">
        <f t="shared" si="16"/>
        <v>1.752</v>
      </c>
      <c r="N128" s="13">
        <f t="shared" si="17"/>
        <v>1.1594999999999984</v>
      </c>
      <c r="O128" s="15">
        <f t="shared" si="18"/>
        <v>5.2945205479451987E-2</v>
      </c>
      <c r="P128" s="16">
        <f t="shared" si="19"/>
        <v>27.223140495867767</v>
      </c>
      <c r="Q128" s="41">
        <f t="shared" si="20"/>
        <v>0.1999999999999999</v>
      </c>
      <c r="T128" s="42"/>
      <c r="U128" s="16">
        <f t="shared" si="21"/>
        <v>32.667768595041316</v>
      </c>
      <c r="V128" s="41">
        <f t="shared" si="22"/>
        <v>0.16666666666666652</v>
      </c>
      <c r="W128" s="17">
        <f t="shared" si="23"/>
        <v>0.30083333333333323</v>
      </c>
      <c r="X128" s="41">
        <f t="shared" si="24"/>
        <v>0.1999999999999999</v>
      </c>
      <c r="Y128" s="43">
        <f t="shared" si="25"/>
        <v>5.444628099173551</v>
      </c>
      <c r="Z128" s="43">
        <f t="shared" si="26"/>
        <v>27.223140495867767</v>
      </c>
      <c r="AA128" s="44" t="str">
        <f t="shared" si="27"/>
        <v>OK</v>
      </c>
    </row>
    <row r="129" spans="1:27" ht="15" customHeight="1" x14ac:dyDescent="0.25">
      <c r="A129" s="12" t="s">
        <v>206</v>
      </c>
      <c r="B129" s="40">
        <v>3.673</v>
      </c>
      <c r="C129" s="12" t="s">
        <v>207</v>
      </c>
      <c r="D129" s="40">
        <v>15.9</v>
      </c>
      <c r="E129" s="13">
        <f t="shared" si="29"/>
        <v>1.8285</v>
      </c>
      <c r="F129" s="14"/>
      <c r="G129" s="15">
        <v>0.115</v>
      </c>
      <c r="H129" s="40">
        <v>6.65</v>
      </c>
      <c r="I129" s="40">
        <v>0</v>
      </c>
      <c r="J129" s="13">
        <f t="shared" si="14"/>
        <v>7.4215</v>
      </c>
      <c r="K129" s="13"/>
      <c r="L129" s="15">
        <f t="shared" si="15"/>
        <v>0.08</v>
      </c>
      <c r="M129" s="13">
        <f t="shared" si="16"/>
        <v>1.272</v>
      </c>
      <c r="N129" s="13">
        <f t="shared" si="17"/>
        <v>2.4764999999999997</v>
      </c>
      <c r="O129" s="15">
        <f t="shared" si="18"/>
        <v>0.15575471698113205</v>
      </c>
      <c r="P129" s="16">
        <f t="shared" si="19"/>
        <v>17.062809917355374</v>
      </c>
      <c r="Q129" s="41">
        <f t="shared" si="20"/>
        <v>0.19999999999999998</v>
      </c>
      <c r="T129" s="42"/>
      <c r="U129" s="16">
        <f t="shared" si="21"/>
        <v>20.475371900826449</v>
      </c>
      <c r="V129" s="41">
        <f t="shared" si="22"/>
        <v>0.16666666666666674</v>
      </c>
      <c r="W129" s="17">
        <f t="shared" si="23"/>
        <v>0.30083333333333334</v>
      </c>
      <c r="X129" s="41">
        <f t="shared" si="24"/>
        <v>0.19999999999999998</v>
      </c>
      <c r="Y129" s="43">
        <f t="shared" si="25"/>
        <v>3.4125619834710745</v>
      </c>
      <c r="Z129" s="43">
        <f t="shared" si="26"/>
        <v>17.062809917355374</v>
      </c>
      <c r="AA129" s="44" t="str">
        <f t="shared" si="27"/>
        <v>OK</v>
      </c>
    </row>
    <row r="130" spans="1:27" ht="15" customHeight="1" x14ac:dyDescent="0.25">
      <c r="A130" s="12" t="s">
        <v>92</v>
      </c>
      <c r="B130" s="45" t="s">
        <v>32</v>
      </c>
      <c r="C130" s="12" t="s">
        <v>208</v>
      </c>
      <c r="D130" s="40">
        <v>46.9</v>
      </c>
      <c r="E130" s="13">
        <f t="shared" si="29"/>
        <v>5.3935000000000004</v>
      </c>
      <c r="F130" s="14"/>
      <c r="G130" s="15">
        <v>0.115</v>
      </c>
      <c r="H130" s="40">
        <v>8.5500000000000007</v>
      </c>
      <c r="I130" s="40">
        <v>0</v>
      </c>
      <c r="J130" s="13">
        <f t="shared" si="14"/>
        <v>32.956499999999991</v>
      </c>
      <c r="K130" s="14"/>
      <c r="L130" s="15">
        <f t="shared" si="15"/>
        <v>0.08</v>
      </c>
      <c r="M130" s="13">
        <f t="shared" si="16"/>
        <v>3.7519999999999998</v>
      </c>
      <c r="N130" s="13">
        <f t="shared" si="17"/>
        <v>29.204499999999992</v>
      </c>
      <c r="O130" s="15">
        <f t="shared" si="18"/>
        <v>0.62269722814498918</v>
      </c>
      <c r="P130" s="16" t="str">
        <f t="shared" si="19"/>
        <v/>
      </c>
      <c r="Q130" s="41" t="str">
        <f t="shared" si="20"/>
        <v/>
      </c>
      <c r="T130" s="42"/>
      <c r="U130" s="16" t="str">
        <f t="shared" si="21"/>
        <v/>
      </c>
      <c r="V130" s="41" t="str">
        <f t="shared" si="22"/>
        <v/>
      </c>
      <c r="W130" s="17" t="str">
        <f t="shared" si="23"/>
        <v/>
      </c>
      <c r="X130" s="41" t="str">
        <f t="shared" si="24"/>
        <v/>
      </c>
      <c r="Y130" s="43" t="str">
        <f t="shared" si="25"/>
        <v/>
      </c>
      <c r="Z130" s="43" t="str">
        <f t="shared" si="26"/>
        <v/>
      </c>
      <c r="AA130" s="44" t="str">
        <f t="shared" si="27"/>
        <v>Sem custo</v>
      </c>
    </row>
    <row r="131" spans="1:27" ht="15" customHeight="1" x14ac:dyDescent="0.25">
      <c r="A131" s="12" t="s">
        <v>92</v>
      </c>
      <c r="B131" s="45" t="s">
        <v>32</v>
      </c>
      <c r="C131" s="12" t="s">
        <v>209</v>
      </c>
      <c r="D131" s="40">
        <v>17.899999999999999</v>
      </c>
      <c r="E131" s="13">
        <f t="shared" si="29"/>
        <v>2.0585</v>
      </c>
      <c r="F131" s="14"/>
      <c r="G131" s="15">
        <v>0.115</v>
      </c>
      <c r="H131" s="40">
        <v>6.65</v>
      </c>
      <c r="I131" s="40">
        <v>0</v>
      </c>
      <c r="J131" s="13">
        <f t="shared" ref="J131:J194" si="30">D131-IFERROR(E131,0)-IFERROR(F131,0)-IF(D131&lt;79,H131,0)-IF(D131&gt;=79,I131,0)</f>
        <v>9.1914999999999978</v>
      </c>
      <c r="K131" s="14"/>
      <c r="L131" s="15">
        <f t="shared" ref="L131:L194" si="31">$K$2</f>
        <v>0.08</v>
      </c>
      <c r="M131" s="13">
        <f t="shared" ref="M131:M194" si="32">D131*$K$2</f>
        <v>1.4319999999999999</v>
      </c>
      <c r="N131" s="13">
        <f t="shared" ref="N131:N194" si="33">J131-IF(ISNUMBER(B131),B131,0)-M131</f>
        <v>7.7594999999999974</v>
      </c>
      <c r="O131" s="15">
        <f t="shared" ref="O131:O194" si="34">IFERROR(N131/D131,0)</f>
        <v>0.43349162011173176</v>
      </c>
      <c r="P131" s="16" t="str">
        <f t="shared" ref="P131:P194" si="35">IF(NOT(ISNUMBER(B131)),"",IF((1-G131-$K$2-$Q$2)&lt;=0,"erro",IF((B131+H131)/(1-G131-$K$2-$Q$2)&lt;79,(B131+H131)/(1-G131-$K$2-$Q$2),IF((78.99-78.99*G131-H131-78.99*$K$2-B131)/78.99&gt;=$R$2,78.99,IF((B131+I131)/(1-G131-$K$2-$Q$2)&gt;=79,(B131+I131)/(1-G131-$K$2-$Q$2),MAX(79,(B131+I131)/(1-G131-$K$2-$R$2)))))))</f>
        <v/>
      </c>
      <c r="Q131" s="41" t="str">
        <f t="shared" ref="Q131:Q194" si="36">IF(NOT(ISNUMBER(P131)),"",(P131-P131*G131-IF(P131&lt;79,H131,I131)-P131*$K$2-B131)/P131)</f>
        <v/>
      </c>
      <c r="T131" s="42"/>
      <c r="U131" s="16" t="str">
        <f t="shared" ref="U131:U194" si="37">IF(NOT(ISNUMBER(P131)),"",P131*(1+$T$2))</f>
        <v/>
      </c>
      <c r="V131" s="41" t="str">
        <f t="shared" ref="V131:V194" si="38">IF(NOT(ISNUMBER(U131)),"",1-P131/U131)</f>
        <v/>
      </c>
      <c r="W131" s="17" t="str">
        <f t="shared" ref="W131:W194" si="39">IF(NOT(ISNUMBER(U131)),"",(U131-U131*G131-IF(U131&lt;79,H131,I131)-U131*$K$2-B131)/U131)</f>
        <v/>
      </c>
      <c r="X131" s="41" t="str">
        <f t="shared" ref="X131:X194" si="40">IF(NOT(ISNUMBER(P131)),"",(P131-P131*G131-IF(P131&lt;79,H131,I131)-P131*$K$2-B131)/P131)</f>
        <v/>
      </c>
      <c r="Y131" s="43" t="str">
        <f t="shared" ref="Y131:Y194" si="41">IF(NOT(ISNUMBER(P131)),"",P131-P131*G131-IF(P131&lt;79,H131,I131)-P131*$K$2-B131)</f>
        <v/>
      </c>
      <c r="Z131" s="43" t="str">
        <f t="shared" ref="Z131:Z194" si="42">IF(NOT(ISNUMBER(P131)),"",P131)</f>
        <v/>
      </c>
      <c r="AA131" s="44" t="str">
        <f t="shared" ref="AA131:AA194" si="43">IF(NOT(ISNUMBER(B131)),"Sem custo",IF(NOT(ISNUMBER(P131)),"",IF(AND(P131&gt;=79,I131=0),"⚠ Subiu p/ frete (I=0)",IF(ABS(P131-78.99)&lt;0.01,"Forçado &lt;79 (evita frete)",IF(AND(P131&gt;=79,Q131&lt;$Q$2-0.001),"Subiu p/ frete (min R2)",IF(Q131&lt;$R$2-0.001,"⚠ Margem abaixo do mínimo","OK"))))))</f>
        <v>Sem custo</v>
      </c>
    </row>
    <row r="132" spans="1:27" ht="15" customHeight="1" x14ac:dyDescent="0.25">
      <c r="A132" s="12" t="s">
        <v>210</v>
      </c>
      <c r="B132" s="40">
        <v>5.35</v>
      </c>
      <c r="C132" s="12" t="s">
        <v>211</v>
      </c>
      <c r="D132" s="40">
        <v>20.5</v>
      </c>
      <c r="E132" s="13">
        <f t="shared" si="29"/>
        <v>2.3574999999999999</v>
      </c>
      <c r="F132" s="14"/>
      <c r="G132" s="15">
        <v>0.115</v>
      </c>
      <c r="H132" s="40">
        <v>6.65</v>
      </c>
      <c r="I132" s="40">
        <v>0</v>
      </c>
      <c r="J132" s="13">
        <f t="shared" si="30"/>
        <v>11.492499999999998</v>
      </c>
      <c r="K132" s="13"/>
      <c r="L132" s="15">
        <f t="shared" si="31"/>
        <v>0.08</v>
      </c>
      <c r="M132" s="13">
        <f t="shared" si="32"/>
        <v>1.6400000000000001</v>
      </c>
      <c r="N132" s="13">
        <f t="shared" si="33"/>
        <v>4.5024999999999977</v>
      </c>
      <c r="O132" s="15">
        <f t="shared" si="34"/>
        <v>0.2196341463414633</v>
      </c>
      <c r="P132" s="16">
        <f t="shared" si="35"/>
        <v>19.834710743801654</v>
      </c>
      <c r="Q132" s="41">
        <f t="shared" si="36"/>
        <v>0.20000000000000012</v>
      </c>
      <c r="T132" s="42"/>
      <c r="U132" s="16">
        <f t="shared" si="37"/>
        <v>23.801652892561986</v>
      </c>
      <c r="V132" s="41">
        <f t="shared" si="38"/>
        <v>0.16666666666666674</v>
      </c>
      <c r="W132" s="17">
        <f t="shared" si="39"/>
        <v>0.3008333333333334</v>
      </c>
      <c r="X132" s="41">
        <f t="shared" si="40"/>
        <v>0.20000000000000012</v>
      </c>
      <c r="Y132" s="43">
        <f t="shared" si="41"/>
        <v>3.9669421487603334</v>
      </c>
      <c r="Z132" s="43">
        <f t="shared" si="42"/>
        <v>19.834710743801654</v>
      </c>
      <c r="AA132" s="44" t="str">
        <f t="shared" si="43"/>
        <v>OK</v>
      </c>
    </row>
    <row r="133" spans="1:27" ht="15" customHeight="1" x14ac:dyDescent="0.25">
      <c r="A133" s="12" t="s">
        <v>212</v>
      </c>
      <c r="B133" s="40">
        <v>10.78</v>
      </c>
      <c r="C133" s="12" t="s">
        <v>213</v>
      </c>
      <c r="D133" s="40">
        <v>28.9</v>
      </c>
      <c r="E133" s="13">
        <f t="shared" si="29"/>
        <v>3.3235000000000001</v>
      </c>
      <c r="F133" s="14"/>
      <c r="G133" s="15">
        <v>0.115</v>
      </c>
      <c r="H133" s="40">
        <v>8.5500000000000007</v>
      </c>
      <c r="I133" s="40">
        <v>0</v>
      </c>
      <c r="J133" s="13">
        <f t="shared" si="30"/>
        <v>17.026499999999999</v>
      </c>
      <c r="K133" s="13"/>
      <c r="L133" s="15">
        <f t="shared" si="31"/>
        <v>0.08</v>
      </c>
      <c r="M133" s="13">
        <f t="shared" si="32"/>
        <v>2.3119999999999998</v>
      </c>
      <c r="N133" s="13">
        <f t="shared" si="33"/>
        <v>3.9344999999999994</v>
      </c>
      <c r="O133" s="15">
        <f t="shared" si="34"/>
        <v>0.13614186851211071</v>
      </c>
      <c r="P133" s="16">
        <f t="shared" si="35"/>
        <v>31.950413223140494</v>
      </c>
      <c r="Q133" s="41">
        <f t="shared" si="36"/>
        <v>0.19999999999999993</v>
      </c>
      <c r="T133" s="42"/>
      <c r="U133" s="16">
        <f t="shared" si="37"/>
        <v>38.340495867768588</v>
      </c>
      <c r="V133" s="41">
        <f t="shared" si="38"/>
        <v>0.16666666666666652</v>
      </c>
      <c r="W133" s="17">
        <f t="shared" si="39"/>
        <v>0.30083333333333329</v>
      </c>
      <c r="X133" s="41">
        <f t="shared" si="40"/>
        <v>0.19999999999999993</v>
      </c>
      <c r="Y133" s="43">
        <f t="shared" si="41"/>
        <v>6.3900826446280963</v>
      </c>
      <c r="Z133" s="43">
        <f t="shared" si="42"/>
        <v>31.950413223140494</v>
      </c>
      <c r="AA133" s="44" t="str">
        <f t="shared" si="43"/>
        <v>OK</v>
      </c>
    </row>
    <row r="134" spans="1:27" ht="15" customHeight="1" x14ac:dyDescent="0.25">
      <c r="A134" s="12" t="s">
        <v>92</v>
      </c>
      <c r="B134" s="45" t="s">
        <v>32</v>
      </c>
      <c r="C134" s="12" t="s">
        <v>214</v>
      </c>
      <c r="D134" s="40">
        <v>13.9</v>
      </c>
      <c r="E134" s="13">
        <f t="shared" si="29"/>
        <v>1.5985</v>
      </c>
      <c r="F134" s="14"/>
      <c r="G134" s="15">
        <v>0.115</v>
      </c>
      <c r="H134" s="40">
        <v>8.5500000000000007</v>
      </c>
      <c r="I134" s="40">
        <v>0</v>
      </c>
      <c r="J134" s="13">
        <f t="shared" si="30"/>
        <v>3.7515000000000001</v>
      </c>
      <c r="K134" s="14"/>
      <c r="L134" s="15">
        <f t="shared" si="31"/>
        <v>0.08</v>
      </c>
      <c r="M134" s="13">
        <f t="shared" si="32"/>
        <v>1.1120000000000001</v>
      </c>
      <c r="N134" s="13">
        <f t="shared" si="33"/>
        <v>2.6395</v>
      </c>
      <c r="O134" s="15">
        <f t="shared" si="34"/>
        <v>0.18989208633093524</v>
      </c>
      <c r="P134" s="16" t="str">
        <f t="shared" si="35"/>
        <v/>
      </c>
      <c r="Q134" s="41" t="str">
        <f t="shared" si="36"/>
        <v/>
      </c>
      <c r="T134" s="42"/>
      <c r="U134" s="16" t="str">
        <f t="shared" si="37"/>
        <v/>
      </c>
      <c r="V134" s="41" t="str">
        <f t="shared" si="38"/>
        <v/>
      </c>
      <c r="W134" s="17" t="str">
        <f t="shared" si="39"/>
        <v/>
      </c>
      <c r="X134" s="41" t="str">
        <f t="shared" si="40"/>
        <v/>
      </c>
      <c r="Y134" s="43" t="str">
        <f t="shared" si="41"/>
        <v/>
      </c>
      <c r="Z134" s="43" t="str">
        <f t="shared" si="42"/>
        <v/>
      </c>
      <c r="AA134" s="44" t="str">
        <f t="shared" si="43"/>
        <v>Sem custo</v>
      </c>
    </row>
    <row r="135" spans="1:27" ht="15" customHeight="1" x14ac:dyDescent="0.25">
      <c r="A135" s="12" t="s">
        <v>101</v>
      </c>
      <c r="B135" s="40">
        <v>12.75</v>
      </c>
      <c r="C135" s="12" t="s">
        <v>215</v>
      </c>
      <c r="D135" s="40">
        <v>24.49</v>
      </c>
      <c r="E135" s="14"/>
      <c r="F135" s="13">
        <f>D135*G135</f>
        <v>4.0408499999999998</v>
      </c>
      <c r="G135" s="15">
        <v>0.16500000000000001</v>
      </c>
      <c r="H135" s="40">
        <v>8.5500000000000007</v>
      </c>
      <c r="I135" s="40">
        <v>0</v>
      </c>
      <c r="J135" s="13">
        <f t="shared" si="30"/>
        <v>11.899149999999999</v>
      </c>
      <c r="K135" s="13"/>
      <c r="L135" s="15">
        <f t="shared" si="31"/>
        <v>0.08</v>
      </c>
      <c r="M135" s="13">
        <f t="shared" si="32"/>
        <v>1.9591999999999998</v>
      </c>
      <c r="N135" s="13">
        <f t="shared" si="33"/>
        <v>-2.8100500000000013</v>
      </c>
      <c r="O135" s="15">
        <f t="shared" si="34"/>
        <v>-0.1147427521437322</v>
      </c>
      <c r="P135" s="16">
        <f t="shared" si="35"/>
        <v>38.378378378378386</v>
      </c>
      <c r="Q135" s="41">
        <f t="shared" si="36"/>
        <v>0.20000000000000009</v>
      </c>
      <c r="T135" s="42"/>
      <c r="U135" s="16">
        <f t="shared" si="37"/>
        <v>46.054054054054063</v>
      </c>
      <c r="V135" s="41">
        <f t="shared" si="38"/>
        <v>0.16666666666666663</v>
      </c>
      <c r="W135" s="17">
        <f t="shared" si="39"/>
        <v>0.29250000000000009</v>
      </c>
      <c r="X135" s="41">
        <f t="shared" si="40"/>
        <v>0.20000000000000009</v>
      </c>
      <c r="Y135" s="43">
        <f t="shared" si="41"/>
        <v>7.6756756756756808</v>
      </c>
      <c r="Z135" s="43">
        <f t="shared" si="42"/>
        <v>38.378378378378386</v>
      </c>
      <c r="AA135" s="44" t="str">
        <f t="shared" si="43"/>
        <v>OK</v>
      </c>
    </row>
    <row r="136" spans="1:27" ht="15" customHeight="1" x14ac:dyDescent="0.25">
      <c r="A136" s="12" t="s">
        <v>101</v>
      </c>
      <c r="B136" s="40">
        <v>12.75</v>
      </c>
      <c r="C136" s="12" t="s">
        <v>216</v>
      </c>
      <c r="D136" s="40">
        <v>21.9</v>
      </c>
      <c r="E136" s="13">
        <f t="shared" ref="E136:E182" si="44">D136*G136</f>
        <v>2.5185</v>
      </c>
      <c r="F136" s="14"/>
      <c r="G136" s="15">
        <v>0.115</v>
      </c>
      <c r="H136" s="40">
        <v>8.15</v>
      </c>
      <c r="I136" s="40">
        <v>0</v>
      </c>
      <c r="J136" s="13">
        <f t="shared" si="30"/>
        <v>11.231499999999999</v>
      </c>
      <c r="K136" s="13"/>
      <c r="L136" s="15">
        <f t="shared" si="31"/>
        <v>0.08</v>
      </c>
      <c r="M136" s="13">
        <f t="shared" si="32"/>
        <v>1.752</v>
      </c>
      <c r="N136" s="13">
        <f t="shared" si="33"/>
        <v>-3.2705000000000011</v>
      </c>
      <c r="O136" s="15">
        <f t="shared" si="34"/>
        <v>-0.14933789954337906</v>
      </c>
      <c r="P136" s="16">
        <f t="shared" si="35"/>
        <v>34.545454545454547</v>
      </c>
      <c r="Q136" s="41">
        <f t="shared" si="36"/>
        <v>0.19999999999999993</v>
      </c>
      <c r="T136" s="42"/>
      <c r="U136" s="16">
        <f t="shared" si="37"/>
        <v>41.454545454545453</v>
      </c>
      <c r="V136" s="41">
        <f t="shared" si="38"/>
        <v>0.16666666666666663</v>
      </c>
      <c r="W136" s="17">
        <f t="shared" si="39"/>
        <v>0.3008333333333334</v>
      </c>
      <c r="X136" s="41">
        <f t="shared" si="40"/>
        <v>0.19999999999999993</v>
      </c>
      <c r="Y136" s="43">
        <f t="shared" si="41"/>
        <v>6.9090909090909065</v>
      </c>
      <c r="Z136" s="43">
        <f t="shared" si="42"/>
        <v>34.545454545454547</v>
      </c>
      <c r="AA136" s="44" t="str">
        <f t="shared" si="43"/>
        <v>OK</v>
      </c>
    </row>
    <row r="137" spans="1:27" ht="15" customHeight="1" x14ac:dyDescent="0.25">
      <c r="A137" s="12" t="s">
        <v>217</v>
      </c>
      <c r="B137" s="40">
        <v>44.88</v>
      </c>
      <c r="C137" s="12" t="s">
        <v>218</v>
      </c>
      <c r="D137" s="40">
        <v>78.900000000000006</v>
      </c>
      <c r="E137" s="13">
        <f t="shared" si="44"/>
        <v>9.073500000000001</v>
      </c>
      <c r="F137" s="14"/>
      <c r="G137" s="15">
        <v>0.115</v>
      </c>
      <c r="H137" s="40">
        <v>7.95</v>
      </c>
      <c r="I137" s="40">
        <v>0</v>
      </c>
      <c r="J137" s="13">
        <f t="shared" si="30"/>
        <v>61.876500000000007</v>
      </c>
      <c r="K137" s="13"/>
      <c r="L137" s="15">
        <f t="shared" si="31"/>
        <v>0.08</v>
      </c>
      <c r="M137" s="13">
        <f t="shared" si="32"/>
        <v>6.3120000000000003</v>
      </c>
      <c r="N137" s="13">
        <f t="shared" si="33"/>
        <v>10.684500000000003</v>
      </c>
      <c r="O137" s="15">
        <f t="shared" si="34"/>
        <v>0.13541825095057036</v>
      </c>
      <c r="P137" s="16">
        <f t="shared" si="35"/>
        <v>79</v>
      </c>
      <c r="Q137" s="41">
        <f t="shared" si="36"/>
        <v>0.23689873417721505</v>
      </c>
      <c r="T137" s="42"/>
      <c r="U137" s="16">
        <f t="shared" si="37"/>
        <v>94.8</v>
      </c>
      <c r="V137" s="41">
        <f t="shared" si="38"/>
        <v>0.16666666666666663</v>
      </c>
      <c r="W137" s="17">
        <f t="shared" si="39"/>
        <v>0.33158227848101257</v>
      </c>
      <c r="X137" s="41">
        <f t="shared" si="40"/>
        <v>0.23689873417721505</v>
      </c>
      <c r="Y137" s="43">
        <f t="shared" si="41"/>
        <v>18.714999999999989</v>
      </c>
      <c r="Z137" s="43">
        <f t="shared" si="42"/>
        <v>79</v>
      </c>
      <c r="AA137" s="44" t="str">
        <f t="shared" si="43"/>
        <v>⚠ Subiu p/ frete (I=0)</v>
      </c>
    </row>
    <row r="138" spans="1:27" ht="15" customHeight="1" x14ac:dyDescent="0.25">
      <c r="A138" s="12" t="s">
        <v>219</v>
      </c>
      <c r="B138" s="40">
        <v>30.02</v>
      </c>
      <c r="C138" s="12" t="s">
        <v>220</v>
      </c>
      <c r="D138" s="40">
        <v>57.9</v>
      </c>
      <c r="E138" s="13">
        <f t="shared" si="44"/>
        <v>6.6585000000000001</v>
      </c>
      <c r="F138" s="14"/>
      <c r="G138" s="15">
        <v>0.115</v>
      </c>
      <c r="H138" s="40">
        <v>6.95</v>
      </c>
      <c r="I138" s="40">
        <v>0</v>
      </c>
      <c r="J138" s="13">
        <f t="shared" si="30"/>
        <v>44.291499999999999</v>
      </c>
      <c r="K138" s="13"/>
      <c r="L138" s="15">
        <f t="shared" si="31"/>
        <v>0.08</v>
      </c>
      <c r="M138" s="13">
        <f t="shared" si="32"/>
        <v>4.6319999999999997</v>
      </c>
      <c r="N138" s="13">
        <f t="shared" si="33"/>
        <v>9.6395</v>
      </c>
      <c r="O138" s="15">
        <f t="shared" si="34"/>
        <v>0.1664853195164076</v>
      </c>
      <c r="P138" s="16">
        <f t="shared" si="35"/>
        <v>61.107438016528924</v>
      </c>
      <c r="Q138" s="41">
        <f t="shared" si="36"/>
        <v>0.2</v>
      </c>
      <c r="T138" s="42"/>
      <c r="U138" s="16">
        <f t="shared" si="37"/>
        <v>73.328925619834706</v>
      </c>
      <c r="V138" s="41">
        <f t="shared" si="38"/>
        <v>0.16666666666666663</v>
      </c>
      <c r="W138" s="17">
        <f t="shared" si="39"/>
        <v>0.30083333333333334</v>
      </c>
      <c r="X138" s="41">
        <f t="shared" si="40"/>
        <v>0.2</v>
      </c>
      <c r="Y138" s="43">
        <f t="shared" si="41"/>
        <v>12.221487603305786</v>
      </c>
      <c r="Z138" s="43">
        <f t="shared" si="42"/>
        <v>61.107438016528924</v>
      </c>
      <c r="AA138" s="44" t="str">
        <f t="shared" si="43"/>
        <v>OK</v>
      </c>
    </row>
    <row r="139" spans="1:27" ht="15" customHeight="1" x14ac:dyDescent="0.25">
      <c r="A139" s="12" t="s">
        <v>221</v>
      </c>
      <c r="B139" s="40">
        <v>22.54</v>
      </c>
      <c r="C139" s="12" t="s">
        <v>222</v>
      </c>
      <c r="D139" s="40">
        <v>45.9</v>
      </c>
      <c r="E139" s="13">
        <f t="shared" si="44"/>
        <v>5.2785000000000002</v>
      </c>
      <c r="F139" s="14"/>
      <c r="G139" s="15">
        <v>0.115</v>
      </c>
      <c r="H139" s="40">
        <v>6.55</v>
      </c>
      <c r="I139" s="40">
        <v>0</v>
      </c>
      <c r="J139" s="13">
        <f t="shared" si="30"/>
        <v>34.0715</v>
      </c>
      <c r="K139" s="13"/>
      <c r="L139" s="15">
        <f t="shared" si="31"/>
        <v>0.08</v>
      </c>
      <c r="M139" s="13">
        <f t="shared" si="32"/>
        <v>3.6720000000000002</v>
      </c>
      <c r="N139" s="13">
        <f t="shared" si="33"/>
        <v>7.8595000000000006</v>
      </c>
      <c r="O139" s="15">
        <f t="shared" si="34"/>
        <v>0.17123093681917212</v>
      </c>
      <c r="P139" s="16">
        <f t="shared" si="35"/>
        <v>48.082644628099175</v>
      </c>
      <c r="Q139" s="41">
        <f t="shared" si="36"/>
        <v>0.19999999999999993</v>
      </c>
      <c r="T139" s="42"/>
      <c r="U139" s="16">
        <f t="shared" si="37"/>
        <v>57.699173553719007</v>
      </c>
      <c r="V139" s="41">
        <f t="shared" si="38"/>
        <v>0.16666666666666663</v>
      </c>
      <c r="W139" s="17">
        <f t="shared" si="39"/>
        <v>0.30083333333333345</v>
      </c>
      <c r="X139" s="41">
        <f t="shared" si="40"/>
        <v>0.19999999999999993</v>
      </c>
      <c r="Y139" s="43">
        <f t="shared" si="41"/>
        <v>9.6165289256198321</v>
      </c>
      <c r="Z139" s="43">
        <f t="shared" si="42"/>
        <v>48.082644628099175</v>
      </c>
      <c r="AA139" s="44" t="str">
        <f t="shared" si="43"/>
        <v>OK</v>
      </c>
    </row>
    <row r="140" spans="1:27" ht="15" customHeight="1" x14ac:dyDescent="0.25">
      <c r="A140" s="12" t="s">
        <v>223</v>
      </c>
      <c r="B140" s="40">
        <v>9.69</v>
      </c>
      <c r="C140" s="12" t="s">
        <v>224</v>
      </c>
      <c r="D140" s="40">
        <v>25.9</v>
      </c>
      <c r="E140" s="13">
        <f t="shared" si="44"/>
        <v>2.9784999999999999</v>
      </c>
      <c r="F140" s="14"/>
      <c r="G140" s="15">
        <v>0.115</v>
      </c>
      <c r="H140" s="40">
        <v>6.55</v>
      </c>
      <c r="I140" s="40">
        <v>0</v>
      </c>
      <c r="J140" s="13">
        <f t="shared" si="30"/>
        <v>16.371499999999997</v>
      </c>
      <c r="K140" s="13"/>
      <c r="L140" s="15">
        <f t="shared" si="31"/>
        <v>0.08</v>
      </c>
      <c r="M140" s="13">
        <f t="shared" si="32"/>
        <v>2.0720000000000001</v>
      </c>
      <c r="N140" s="13">
        <f t="shared" si="33"/>
        <v>4.6094999999999979</v>
      </c>
      <c r="O140" s="15">
        <f t="shared" si="34"/>
        <v>0.1779729729729729</v>
      </c>
      <c r="P140" s="16">
        <f t="shared" si="35"/>
        <v>26.84297520661157</v>
      </c>
      <c r="Q140" s="41">
        <f t="shared" si="36"/>
        <v>0.20000000000000007</v>
      </c>
      <c r="T140" s="42"/>
      <c r="U140" s="16">
        <f t="shared" si="37"/>
        <v>32.211570247933885</v>
      </c>
      <c r="V140" s="41">
        <f t="shared" si="38"/>
        <v>0.16666666666666674</v>
      </c>
      <c r="W140" s="17">
        <f t="shared" si="39"/>
        <v>0.30083333333333329</v>
      </c>
      <c r="X140" s="41">
        <f t="shared" si="40"/>
        <v>0.20000000000000007</v>
      </c>
      <c r="Y140" s="43">
        <f t="shared" si="41"/>
        <v>5.3685950413223154</v>
      </c>
      <c r="Z140" s="43">
        <f t="shared" si="42"/>
        <v>26.84297520661157</v>
      </c>
      <c r="AA140" s="44" t="str">
        <f t="shared" si="43"/>
        <v>OK</v>
      </c>
    </row>
    <row r="141" spans="1:27" ht="15" customHeight="1" x14ac:dyDescent="0.25">
      <c r="A141" s="12" t="s">
        <v>223</v>
      </c>
      <c r="B141" s="40">
        <v>9.69</v>
      </c>
      <c r="C141" s="12" t="s">
        <v>225</v>
      </c>
      <c r="D141" s="40">
        <v>25.9</v>
      </c>
      <c r="E141" s="13">
        <f t="shared" si="44"/>
        <v>2.9784999999999999</v>
      </c>
      <c r="F141" s="14"/>
      <c r="G141" s="15">
        <v>0.115</v>
      </c>
      <c r="H141" s="40">
        <v>6.65</v>
      </c>
      <c r="I141" s="40">
        <v>0</v>
      </c>
      <c r="J141" s="13">
        <f t="shared" si="30"/>
        <v>16.271499999999996</v>
      </c>
      <c r="K141" s="13"/>
      <c r="L141" s="15">
        <f t="shared" si="31"/>
        <v>0.08</v>
      </c>
      <c r="M141" s="13">
        <f t="shared" si="32"/>
        <v>2.0720000000000001</v>
      </c>
      <c r="N141" s="13">
        <f t="shared" si="33"/>
        <v>4.5094999999999965</v>
      </c>
      <c r="O141" s="15">
        <f t="shared" si="34"/>
        <v>0.17411196911196899</v>
      </c>
      <c r="P141" s="16">
        <f t="shared" si="35"/>
        <v>27.008264462809919</v>
      </c>
      <c r="Q141" s="41">
        <f t="shared" si="36"/>
        <v>0.20000000000000007</v>
      </c>
      <c r="T141" s="42"/>
      <c r="U141" s="16">
        <f t="shared" si="37"/>
        <v>32.409917355371903</v>
      </c>
      <c r="V141" s="41">
        <f t="shared" si="38"/>
        <v>0.16666666666666663</v>
      </c>
      <c r="W141" s="17">
        <f t="shared" si="39"/>
        <v>0.30083333333333334</v>
      </c>
      <c r="X141" s="41">
        <f t="shared" si="40"/>
        <v>0.20000000000000007</v>
      </c>
      <c r="Y141" s="43">
        <f t="shared" si="41"/>
        <v>5.4016528925619856</v>
      </c>
      <c r="Z141" s="43">
        <f t="shared" si="42"/>
        <v>27.008264462809919</v>
      </c>
      <c r="AA141" s="44" t="str">
        <f t="shared" si="43"/>
        <v>OK</v>
      </c>
    </row>
    <row r="142" spans="1:27" ht="15" customHeight="1" x14ac:dyDescent="0.25">
      <c r="A142" s="12" t="s">
        <v>92</v>
      </c>
      <c r="B142" s="45" t="s">
        <v>32</v>
      </c>
      <c r="C142" s="12" t="s">
        <v>226</v>
      </c>
      <c r="D142" s="40">
        <v>29.99</v>
      </c>
      <c r="E142" s="13">
        <f t="shared" si="44"/>
        <v>3.4488499999999997</v>
      </c>
      <c r="F142" s="14"/>
      <c r="G142" s="15">
        <v>0.115</v>
      </c>
      <c r="H142" s="40">
        <v>8.5500000000000007</v>
      </c>
      <c r="I142" s="40">
        <v>0</v>
      </c>
      <c r="J142" s="13">
        <f t="shared" si="30"/>
        <v>17.991149999999998</v>
      </c>
      <c r="K142" s="14"/>
      <c r="L142" s="15">
        <f t="shared" si="31"/>
        <v>0.08</v>
      </c>
      <c r="M142" s="13">
        <f t="shared" si="32"/>
        <v>2.3992</v>
      </c>
      <c r="N142" s="13">
        <f t="shared" si="33"/>
        <v>15.591949999999997</v>
      </c>
      <c r="O142" s="15">
        <f t="shared" si="34"/>
        <v>0.51990496832277422</v>
      </c>
      <c r="P142" s="16" t="str">
        <f t="shared" si="35"/>
        <v/>
      </c>
      <c r="Q142" s="41" t="str">
        <f t="shared" si="36"/>
        <v/>
      </c>
      <c r="T142" s="42"/>
      <c r="U142" s="16" t="str">
        <f t="shared" si="37"/>
        <v/>
      </c>
      <c r="V142" s="41" t="str">
        <f t="shared" si="38"/>
        <v/>
      </c>
      <c r="W142" s="17" t="str">
        <f t="shared" si="39"/>
        <v/>
      </c>
      <c r="X142" s="41" t="str">
        <f t="shared" si="40"/>
        <v/>
      </c>
      <c r="Y142" s="43" t="str">
        <f t="shared" si="41"/>
        <v/>
      </c>
      <c r="Z142" s="43" t="str">
        <f t="shared" si="42"/>
        <v/>
      </c>
      <c r="AA142" s="44" t="str">
        <f t="shared" si="43"/>
        <v>Sem custo</v>
      </c>
    </row>
    <row r="143" spans="1:27" ht="15" customHeight="1" x14ac:dyDescent="0.25">
      <c r="A143" s="12" t="s">
        <v>227</v>
      </c>
      <c r="B143" s="40">
        <v>4.2</v>
      </c>
      <c r="C143" s="12" t="s">
        <v>228</v>
      </c>
      <c r="D143" s="40">
        <v>16.5</v>
      </c>
      <c r="E143" s="13">
        <f t="shared" si="44"/>
        <v>1.8975000000000002</v>
      </c>
      <c r="F143" s="14"/>
      <c r="G143" s="15">
        <v>0.115</v>
      </c>
      <c r="H143" s="40">
        <v>8.5500000000000007</v>
      </c>
      <c r="I143" s="40">
        <v>0</v>
      </c>
      <c r="J143" s="13">
        <f t="shared" si="30"/>
        <v>6.0524999999999984</v>
      </c>
      <c r="K143" s="13"/>
      <c r="L143" s="15">
        <f t="shared" si="31"/>
        <v>0.08</v>
      </c>
      <c r="M143" s="13">
        <f t="shared" si="32"/>
        <v>1.32</v>
      </c>
      <c r="N143" s="13">
        <f t="shared" si="33"/>
        <v>0.5324999999999982</v>
      </c>
      <c r="O143" s="15">
        <f t="shared" si="34"/>
        <v>3.2272727272727161E-2</v>
      </c>
      <c r="P143" s="16">
        <f t="shared" si="35"/>
        <v>21.074380165289256</v>
      </c>
      <c r="Q143" s="41">
        <f t="shared" si="36"/>
        <v>0.1999999999999999</v>
      </c>
      <c r="T143" s="42"/>
      <c r="U143" s="16">
        <f t="shared" si="37"/>
        <v>25.289256198347108</v>
      </c>
      <c r="V143" s="41">
        <f t="shared" si="38"/>
        <v>0.16666666666666674</v>
      </c>
      <c r="W143" s="17">
        <f t="shared" si="39"/>
        <v>0.30083333333333334</v>
      </c>
      <c r="X143" s="41">
        <f t="shared" si="40"/>
        <v>0.1999999999999999</v>
      </c>
      <c r="Y143" s="43">
        <f t="shared" si="41"/>
        <v>4.2148760330578492</v>
      </c>
      <c r="Z143" s="43">
        <f t="shared" si="42"/>
        <v>21.074380165289256</v>
      </c>
      <c r="AA143" s="44" t="str">
        <f t="shared" si="43"/>
        <v>OK</v>
      </c>
    </row>
    <row r="144" spans="1:27" ht="15" customHeight="1" x14ac:dyDescent="0.25">
      <c r="A144" s="12" t="s">
        <v>227</v>
      </c>
      <c r="B144" s="40">
        <v>4.2</v>
      </c>
      <c r="C144" s="12" t="s">
        <v>229</v>
      </c>
      <c r="D144" s="40">
        <v>16.5</v>
      </c>
      <c r="E144" s="13">
        <f t="shared" si="44"/>
        <v>1.8975000000000002</v>
      </c>
      <c r="F144" s="14"/>
      <c r="G144" s="15">
        <v>0.115</v>
      </c>
      <c r="H144" s="40">
        <v>6.75</v>
      </c>
      <c r="I144" s="40">
        <v>0</v>
      </c>
      <c r="J144" s="13">
        <f t="shared" si="30"/>
        <v>7.8524999999999991</v>
      </c>
      <c r="K144" s="13"/>
      <c r="L144" s="15">
        <f t="shared" si="31"/>
        <v>0.08</v>
      </c>
      <c r="M144" s="13">
        <f t="shared" si="32"/>
        <v>1.32</v>
      </c>
      <c r="N144" s="13">
        <f t="shared" si="33"/>
        <v>2.3324999999999987</v>
      </c>
      <c r="O144" s="15">
        <f t="shared" si="34"/>
        <v>0.14136363636363627</v>
      </c>
      <c r="P144" s="16">
        <f t="shared" si="35"/>
        <v>18.099173553719009</v>
      </c>
      <c r="Q144" s="41">
        <f t="shared" si="36"/>
        <v>0.19999999999999993</v>
      </c>
      <c r="T144" s="42"/>
      <c r="U144" s="16">
        <f t="shared" si="37"/>
        <v>21.719008264462811</v>
      </c>
      <c r="V144" s="41">
        <f t="shared" si="38"/>
        <v>0.16666666666666674</v>
      </c>
      <c r="W144" s="17">
        <f t="shared" si="39"/>
        <v>0.30083333333333334</v>
      </c>
      <c r="X144" s="41">
        <f t="shared" si="40"/>
        <v>0.19999999999999993</v>
      </c>
      <c r="Y144" s="43">
        <f t="shared" si="41"/>
        <v>3.6198347107438007</v>
      </c>
      <c r="Z144" s="43">
        <f t="shared" si="42"/>
        <v>18.099173553719009</v>
      </c>
      <c r="AA144" s="44" t="str">
        <f t="shared" si="43"/>
        <v>OK</v>
      </c>
    </row>
    <row r="145" spans="1:27" ht="15" customHeight="1" x14ac:dyDescent="0.25">
      <c r="A145" s="12" t="s">
        <v>230</v>
      </c>
      <c r="B145" s="40">
        <v>11.66</v>
      </c>
      <c r="C145" s="12" t="s">
        <v>231</v>
      </c>
      <c r="D145" s="40">
        <v>32.9</v>
      </c>
      <c r="E145" s="13">
        <f t="shared" si="44"/>
        <v>3.7835000000000001</v>
      </c>
      <c r="F145" s="14"/>
      <c r="G145" s="15">
        <v>0.115</v>
      </c>
      <c r="H145" s="40">
        <v>6.75</v>
      </c>
      <c r="I145" s="40">
        <v>0</v>
      </c>
      <c r="J145" s="13">
        <f t="shared" si="30"/>
        <v>22.366499999999998</v>
      </c>
      <c r="K145" s="13"/>
      <c r="L145" s="15">
        <f t="shared" si="31"/>
        <v>0.08</v>
      </c>
      <c r="M145" s="13">
        <f t="shared" si="32"/>
        <v>2.6320000000000001</v>
      </c>
      <c r="N145" s="13">
        <f t="shared" si="33"/>
        <v>8.0744999999999987</v>
      </c>
      <c r="O145" s="15">
        <f t="shared" si="34"/>
        <v>0.24542553191489358</v>
      </c>
      <c r="P145" s="16">
        <f t="shared" si="35"/>
        <v>30.429752066115704</v>
      </c>
      <c r="Q145" s="41">
        <f t="shared" si="36"/>
        <v>0.2</v>
      </c>
      <c r="T145" s="42"/>
      <c r="U145" s="16">
        <f t="shared" si="37"/>
        <v>36.515702479338842</v>
      </c>
      <c r="V145" s="41">
        <f t="shared" si="38"/>
        <v>0.16666666666666663</v>
      </c>
      <c r="W145" s="17">
        <f t="shared" si="39"/>
        <v>0.30083333333333323</v>
      </c>
      <c r="X145" s="41">
        <f t="shared" si="40"/>
        <v>0.2</v>
      </c>
      <c r="Y145" s="43">
        <f t="shared" si="41"/>
        <v>6.0859504132231415</v>
      </c>
      <c r="Z145" s="43">
        <f t="shared" si="42"/>
        <v>30.429752066115704</v>
      </c>
      <c r="AA145" s="44" t="str">
        <f t="shared" si="43"/>
        <v>OK</v>
      </c>
    </row>
    <row r="146" spans="1:27" ht="15" customHeight="1" x14ac:dyDescent="0.25">
      <c r="A146" s="12" t="s">
        <v>232</v>
      </c>
      <c r="B146" s="40">
        <v>11.66</v>
      </c>
      <c r="C146" s="12" t="s">
        <v>233</v>
      </c>
      <c r="D146" s="40">
        <v>33.9</v>
      </c>
      <c r="E146" s="13">
        <f t="shared" si="44"/>
        <v>3.8984999999999999</v>
      </c>
      <c r="F146" s="14"/>
      <c r="G146" s="15">
        <v>0.115</v>
      </c>
      <c r="H146" s="40">
        <v>6.75</v>
      </c>
      <c r="I146" s="40">
        <v>0</v>
      </c>
      <c r="J146" s="13">
        <f t="shared" si="30"/>
        <v>23.2515</v>
      </c>
      <c r="K146" s="13"/>
      <c r="L146" s="15">
        <f t="shared" si="31"/>
        <v>0.08</v>
      </c>
      <c r="M146" s="13">
        <f t="shared" si="32"/>
        <v>2.7119999999999997</v>
      </c>
      <c r="N146" s="13">
        <f t="shared" si="33"/>
        <v>8.8795000000000002</v>
      </c>
      <c r="O146" s="15">
        <f t="shared" si="34"/>
        <v>0.26193215339233039</v>
      </c>
      <c r="P146" s="16">
        <f t="shared" si="35"/>
        <v>30.429752066115704</v>
      </c>
      <c r="Q146" s="41">
        <f t="shared" si="36"/>
        <v>0.2</v>
      </c>
      <c r="T146" s="42"/>
      <c r="U146" s="16">
        <f t="shared" si="37"/>
        <v>36.515702479338842</v>
      </c>
      <c r="V146" s="41">
        <f t="shared" si="38"/>
        <v>0.16666666666666663</v>
      </c>
      <c r="W146" s="17">
        <f t="shared" si="39"/>
        <v>0.30083333333333323</v>
      </c>
      <c r="X146" s="41">
        <f t="shared" si="40"/>
        <v>0.2</v>
      </c>
      <c r="Y146" s="43">
        <f t="shared" si="41"/>
        <v>6.0859504132231415</v>
      </c>
      <c r="Z146" s="43">
        <f t="shared" si="42"/>
        <v>30.429752066115704</v>
      </c>
      <c r="AA146" s="44" t="str">
        <f t="shared" si="43"/>
        <v>OK</v>
      </c>
    </row>
    <row r="147" spans="1:27" ht="15" customHeight="1" x14ac:dyDescent="0.25">
      <c r="A147" s="12" t="s">
        <v>234</v>
      </c>
      <c r="B147" s="40">
        <v>11.66</v>
      </c>
      <c r="C147" s="12" t="s">
        <v>235</v>
      </c>
      <c r="D147" s="40">
        <v>32.9</v>
      </c>
      <c r="E147" s="13">
        <f t="shared" si="44"/>
        <v>3.7835000000000001</v>
      </c>
      <c r="F147" s="14"/>
      <c r="G147" s="15">
        <v>0.115</v>
      </c>
      <c r="H147" s="40">
        <v>6.75</v>
      </c>
      <c r="I147" s="40">
        <v>0</v>
      </c>
      <c r="J147" s="13">
        <f t="shared" si="30"/>
        <v>22.366499999999998</v>
      </c>
      <c r="K147" s="13"/>
      <c r="L147" s="15">
        <f t="shared" si="31"/>
        <v>0.08</v>
      </c>
      <c r="M147" s="13">
        <f t="shared" si="32"/>
        <v>2.6320000000000001</v>
      </c>
      <c r="N147" s="13">
        <f t="shared" si="33"/>
        <v>8.0744999999999987</v>
      </c>
      <c r="O147" s="15">
        <f t="shared" si="34"/>
        <v>0.24542553191489358</v>
      </c>
      <c r="P147" s="16">
        <f t="shared" si="35"/>
        <v>30.429752066115704</v>
      </c>
      <c r="Q147" s="41">
        <f t="shared" si="36"/>
        <v>0.2</v>
      </c>
      <c r="T147" s="42"/>
      <c r="U147" s="16">
        <f t="shared" si="37"/>
        <v>36.515702479338842</v>
      </c>
      <c r="V147" s="41">
        <f t="shared" si="38"/>
        <v>0.16666666666666663</v>
      </c>
      <c r="W147" s="17">
        <f t="shared" si="39"/>
        <v>0.30083333333333323</v>
      </c>
      <c r="X147" s="41">
        <f t="shared" si="40"/>
        <v>0.2</v>
      </c>
      <c r="Y147" s="43">
        <f t="shared" si="41"/>
        <v>6.0859504132231415</v>
      </c>
      <c r="Z147" s="43">
        <f t="shared" si="42"/>
        <v>30.429752066115704</v>
      </c>
      <c r="AA147" s="44" t="str">
        <f t="shared" si="43"/>
        <v>OK</v>
      </c>
    </row>
    <row r="148" spans="1:27" ht="15" customHeight="1" x14ac:dyDescent="0.25">
      <c r="A148" s="12" t="s">
        <v>236</v>
      </c>
      <c r="B148" s="40">
        <v>6.83</v>
      </c>
      <c r="C148" s="12" t="s">
        <v>237</v>
      </c>
      <c r="D148" s="40">
        <v>19.899999999999999</v>
      </c>
      <c r="E148" s="13">
        <f t="shared" si="44"/>
        <v>2.2885</v>
      </c>
      <c r="F148" s="14"/>
      <c r="G148" s="15">
        <v>0.115</v>
      </c>
      <c r="H148" s="40">
        <v>6.75</v>
      </c>
      <c r="I148" s="40">
        <v>0</v>
      </c>
      <c r="J148" s="13">
        <f t="shared" si="30"/>
        <v>10.861499999999999</v>
      </c>
      <c r="K148" s="13"/>
      <c r="L148" s="15">
        <f t="shared" si="31"/>
        <v>0.08</v>
      </c>
      <c r="M148" s="13">
        <f t="shared" si="32"/>
        <v>1.5919999999999999</v>
      </c>
      <c r="N148" s="13">
        <f t="shared" si="33"/>
        <v>2.4394999999999998</v>
      </c>
      <c r="O148" s="15">
        <f t="shared" si="34"/>
        <v>0.12258793969849247</v>
      </c>
      <c r="P148" s="16">
        <f t="shared" si="35"/>
        <v>22.446280991735538</v>
      </c>
      <c r="Q148" s="41">
        <f t="shared" si="36"/>
        <v>0.20000000000000004</v>
      </c>
      <c r="T148" s="42"/>
      <c r="U148" s="16">
        <f t="shared" si="37"/>
        <v>26.935537190082645</v>
      </c>
      <c r="V148" s="41">
        <f t="shared" si="38"/>
        <v>0.16666666666666663</v>
      </c>
      <c r="W148" s="17">
        <f t="shared" si="39"/>
        <v>0.30083333333333329</v>
      </c>
      <c r="X148" s="41">
        <f t="shared" si="40"/>
        <v>0.20000000000000004</v>
      </c>
      <c r="Y148" s="43">
        <f t="shared" si="41"/>
        <v>4.4892561983471087</v>
      </c>
      <c r="Z148" s="43">
        <f t="shared" si="42"/>
        <v>22.446280991735538</v>
      </c>
      <c r="AA148" s="44" t="str">
        <f t="shared" si="43"/>
        <v>OK</v>
      </c>
    </row>
    <row r="149" spans="1:27" ht="15" customHeight="1" x14ac:dyDescent="0.25">
      <c r="A149" s="12" t="s">
        <v>238</v>
      </c>
      <c r="B149" s="40">
        <v>6.83</v>
      </c>
      <c r="C149" s="12" t="s">
        <v>239</v>
      </c>
      <c r="D149" s="40">
        <v>21.9</v>
      </c>
      <c r="E149" s="13">
        <f t="shared" si="44"/>
        <v>2.5185</v>
      </c>
      <c r="F149" s="14"/>
      <c r="G149" s="15">
        <v>0.115</v>
      </c>
      <c r="H149" s="40">
        <v>6.75</v>
      </c>
      <c r="I149" s="40">
        <v>0</v>
      </c>
      <c r="J149" s="13">
        <f t="shared" si="30"/>
        <v>12.631499999999999</v>
      </c>
      <c r="K149" s="13"/>
      <c r="L149" s="15">
        <f t="shared" si="31"/>
        <v>0.08</v>
      </c>
      <c r="M149" s="13">
        <f t="shared" si="32"/>
        <v>1.752</v>
      </c>
      <c r="N149" s="13">
        <f t="shared" si="33"/>
        <v>4.0494999999999992</v>
      </c>
      <c r="O149" s="15">
        <f t="shared" si="34"/>
        <v>0.18490867579908674</v>
      </c>
      <c r="P149" s="16">
        <f t="shared" si="35"/>
        <v>22.446280991735538</v>
      </c>
      <c r="Q149" s="41">
        <f t="shared" si="36"/>
        <v>0.20000000000000004</v>
      </c>
      <c r="T149" s="42"/>
      <c r="U149" s="16">
        <f t="shared" si="37"/>
        <v>26.935537190082645</v>
      </c>
      <c r="V149" s="41">
        <f t="shared" si="38"/>
        <v>0.16666666666666663</v>
      </c>
      <c r="W149" s="17">
        <f t="shared" si="39"/>
        <v>0.30083333333333329</v>
      </c>
      <c r="X149" s="41">
        <f t="shared" si="40"/>
        <v>0.20000000000000004</v>
      </c>
      <c r="Y149" s="43">
        <f t="shared" si="41"/>
        <v>4.4892561983471087</v>
      </c>
      <c r="Z149" s="43">
        <f t="shared" si="42"/>
        <v>22.446280991735538</v>
      </c>
      <c r="AA149" s="44" t="str">
        <f t="shared" si="43"/>
        <v>OK</v>
      </c>
    </row>
    <row r="150" spans="1:27" ht="15" customHeight="1" x14ac:dyDescent="0.25">
      <c r="A150" s="12" t="s">
        <v>240</v>
      </c>
      <c r="B150" s="40">
        <v>6.83</v>
      </c>
      <c r="C150" s="12" t="s">
        <v>241</v>
      </c>
      <c r="D150" s="40">
        <v>19.899999999999999</v>
      </c>
      <c r="E150" s="13">
        <f t="shared" si="44"/>
        <v>2.2885</v>
      </c>
      <c r="F150" s="14"/>
      <c r="G150" s="15">
        <v>0.115</v>
      </c>
      <c r="H150" s="40">
        <v>8.5500000000000007</v>
      </c>
      <c r="I150" s="40">
        <v>0</v>
      </c>
      <c r="J150" s="13">
        <f t="shared" si="30"/>
        <v>9.0614999999999988</v>
      </c>
      <c r="K150" s="13"/>
      <c r="L150" s="15">
        <f t="shared" si="31"/>
        <v>0.08</v>
      </c>
      <c r="M150" s="13">
        <f t="shared" si="32"/>
        <v>1.5919999999999999</v>
      </c>
      <c r="N150" s="13">
        <f t="shared" si="33"/>
        <v>0.63949999999999885</v>
      </c>
      <c r="O150" s="15">
        <f t="shared" si="34"/>
        <v>3.2135678391959743E-2</v>
      </c>
      <c r="P150" s="16">
        <f t="shared" si="35"/>
        <v>25.421487603305788</v>
      </c>
      <c r="Q150" s="41">
        <f t="shared" si="36"/>
        <v>0.2</v>
      </c>
      <c r="T150" s="42"/>
      <c r="U150" s="16">
        <f t="shared" si="37"/>
        <v>30.505785123966945</v>
      </c>
      <c r="V150" s="41">
        <f t="shared" si="38"/>
        <v>0.16666666666666663</v>
      </c>
      <c r="W150" s="17">
        <f t="shared" si="39"/>
        <v>0.30083333333333334</v>
      </c>
      <c r="X150" s="41">
        <f t="shared" si="40"/>
        <v>0.2</v>
      </c>
      <c r="Y150" s="43">
        <f t="shared" si="41"/>
        <v>5.084297520661158</v>
      </c>
      <c r="Z150" s="43">
        <f t="shared" si="42"/>
        <v>25.421487603305788</v>
      </c>
      <c r="AA150" s="44" t="str">
        <f t="shared" si="43"/>
        <v>OK</v>
      </c>
    </row>
    <row r="151" spans="1:27" ht="15" customHeight="1" x14ac:dyDescent="0.25">
      <c r="A151" s="12" t="s">
        <v>242</v>
      </c>
      <c r="B151" s="40">
        <v>5.12</v>
      </c>
      <c r="C151" s="12" t="s">
        <v>243</v>
      </c>
      <c r="D151" s="40">
        <v>18.57</v>
      </c>
      <c r="E151" s="13">
        <f t="shared" si="44"/>
        <v>2.4140999999999999</v>
      </c>
      <c r="F151" s="14"/>
      <c r="G151" s="15">
        <v>0.13</v>
      </c>
      <c r="H151" s="40">
        <v>6.65</v>
      </c>
      <c r="I151" s="40">
        <v>0</v>
      </c>
      <c r="J151" s="13">
        <f t="shared" si="30"/>
        <v>9.5058999999999987</v>
      </c>
      <c r="K151" s="13"/>
      <c r="L151" s="15">
        <f t="shared" si="31"/>
        <v>0.08</v>
      </c>
      <c r="M151" s="13">
        <f t="shared" si="32"/>
        <v>1.4856</v>
      </c>
      <c r="N151" s="13">
        <f t="shared" si="33"/>
        <v>2.9002999999999988</v>
      </c>
      <c r="O151" s="15">
        <f t="shared" si="34"/>
        <v>0.15618201400107692</v>
      </c>
      <c r="P151" s="16">
        <f t="shared" si="35"/>
        <v>19.949152542372879</v>
      </c>
      <c r="Q151" s="41">
        <f t="shared" si="36"/>
        <v>0.19999999999999987</v>
      </c>
      <c r="T151" s="42"/>
      <c r="U151" s="16">
        <f t="shared" si="37"/>
        <v>23.938983050847455</v>
      </c>
      <c r="V151" s="41">
        <f t="shared" si="38"/>
        <v>0.16666666666666663</v>
      </c>
      <c r="W151" s="17">
        <f t="shared" si="39"/>
        <v>0.29833333333333323</v>
      </c>
      <c r="X151" s="41">
        <f t="shared" si="40"/>
        <v>0.19999999999999987</v>
      </c>
      <c r="Y151" s="43">
        <f t="shared" si="41"/>
        <v>3.9898305084745731</v>
      </c>
      <c r="Z151" s="43">
        <f t="shared" si="42"/>
        <v>19.949152542372879</v>
      </c>
      <c r="AA151" s="44" t="str">
        <f t="shared" si="43"/>
        <v>OK</v>
      </c>
    </row>
    <row r="152" spans="1:27" ht="15" customHeight="1" x14ac:dyDescent="0.25">
      <c r="A152" s="12" t="s">
        <v>244</v>
      </c>
      <c r="B152" s="40">
        <v>8.8000000000000007</v>
      </c>
      <c r="C152" s="12" t="s">
        <v>245</v>
      </c>
      <c r="D152" s="40">
        <v>22.9</v>
      </c>
      <c r="E152" s="13">
        <f t="shared" si="44"/>
        <v>2.6334999999999997</v>
      </c>
      <c r="F152" s="14"/>
      <c r="G152" s="15">
        <v>0.115</v>
      </c>
      <c r="H152" s="40">
        <v>8.5500000000000007</v>
      </c>
      <c r="I152" s="40">
        <v>0</v>
      </c>
      <c r="J152" s="13">
        <f t="shared" si="30"/>
        <v>11.7165</v>
      </c>
      <c r="K152" s="13"/>
      <c r="L152" s="15">
        <f t="shared" si="31"/>
        <v>0.08</v>
      </c>
      <c r="M152" s="13">
        <f t="shared" si="32"/>
        <v>1.8319999999999999</v>
      </c>
      <c r="N152" s="13">
        <f t="shared" si="33"/>
        <v>1.0844999999999994</v>
      </c>
      <c r="O152" s="15">
        <f t="shared" si="34"/>
        <v>4.7358078602620063E-2</v>
      </c>
      <c r="P152" s="16">
        <f t="shared" si="35"/>
        <v>28.677685950413228</v>
      </c>
      <c r="Q152" s="41">
        <f t="shared" si="36"/>
        <v>0.20000000000000007</v>
      </c>
      <c r="T152" s="42"/>
      <c r="U152" s="16">
        <f t="shared" si="37"/>
        <v>34.413223140495873</v>
      </c>
      <c r="V152" s="41">
        <f t="shared" si="38"/>
        <v>0.16666666666666663</v>
      </c>
      <c r="W152" s="17">
        <f t="shared" si="39"/>
        <v>0.30083333333333329</v>
      </c>
      <c r="X152" s="41">
        <f t="shared" si="40"/>
        <v>0.20000000000000007</v>
      </c>
      <c r="Y152" s="43">
        <f t="shared" si="41"/>
        <v>5.7355371900826473</v>
      </c>
      <c r="Z152" s="43">
        <f t="shared" si="42"/>
        <v>28.677685950413228</v>
      </c>
      <c r="AA152" s="44" t="str">
        <f t="shared" si="43"/>
        <v>OK</v>
      </c>
    </row>
    <row r="153" spans="1:27" ht="15" customHeight="1" x14ac:dyDescent="0.25">
      <c r="A153" s="12" t="s">
        <v>242</v>
      </c>
      <c r="B153" s="40">
        <v>5.12</v>
      </c>
      <c r="C153" s="12" t="s">
        <v>246</v>
      </c>
      <c r="D153" s="40">
        <v>18.57</v>
      </c>
      <c r="E153" s="13">
        <f t="shared" si="44"/>
        <v>2.4140999999999999</v>
      </c>
      <c r="F153" s="14"/>
      <c r="G153" s="15">
        <v>0.13</v>
      </c>
      <c r="H153" s="40">
        <v>8.5500000000000007</v>
      </c>
      <c r="I153" s="40">
        <v>0</v>
      </c>
      <c r="J153" s="13">
        <f t="shared" si="30"/>
        <v>7.6058999999999983</v>
      </c>
      <c r="K153" s="13"/>
      <c r="L153" s="15">
        <f t="shared" si="31"/>
        <v>0.08</v>
      </c>
      <c r="M153" s="13">
        <f t="shared" si="32"/>
        <v>1.4856</v>
      </c>
      <c r="N153" s="13">
        <f t="shared" si="33"/>
        <v>1.0002999999999982</v>
      </c>
      <c r="O153" s="15">
        <f t="shared" si="34"/>
        <v>5.3866451265481861E-2</v>
      </c>
      <c r="P153" s="16">
        <f t="shared" si="35"/>
        <v>23.16949152542373</v>
      </c>
      <c r="Q153" s="41">
        <f t="shared" si="36"/>
        <v>0.2</v>
      </c>
      <c r="T153" s="42"/>
      <c r="U153" s="16">
        <f t="shared" si="37"/>
        <v>27.803389830508475</v>
      </c>
      <c r="V153" s="41">
        <f t="shared" si="38"/>
        <v>0.16666666666666663</v>
      </c>
      <c r="W153" s="17">
        <f t="shared" si="39"/>
        <v>0.29833333333333334</v>
      </c>
      <c r="X153" s="41">
        <f t="shared" si="40"/>
        <v>0.2</v>
      </c>
      <c r="Y153" s="43">
        <f t="shared" si="41"/>
        <v>4.6338983050847462</v>
      </c>
      <c r="Z153" s="43">
        <f t="shared" si="42"/>
        <v>23.16949152542373</v>
      </c>
      <c r="AA153" s="44" t="str">
        <f t="shared" si="43"/>
        <v>OK</v>
      </c>
    </row>
    <row r="154" spans="1:27" ht="15" customHeight="1" x14ac:dyDescent="0.25">
      <c r="A154" s="12" t="s">
        <v>92</v>
      </c>
      <c r="B154" s="45" t="s">
        <v>32</v>
      </c>
      <c r="C154" s="12" t="s">
        <v>247</v>
      </c>
      <c r="D154" s="40">
        <v>18.5</v>
      </c>
      <c r="E154" s="13">
        <f t="shared" si="44"/>
        <v>2.1274999999999999</v>
      </c>
      <c r="F154" s="14"/>
      <c r="G154" s="15">
        <v>0.115</v>
      </c>
      <c r="H154" s="40">
        <v>8.5500000000000007</v>
      </c>
      <c r="I154" s="40">
        <v>0</v>
      </c>
      <c r="J154" s="13">
        <f t="shared" si="30"/>
        <v>7.822499999999998</v>
      </c>
      <c r="K154" s="14"/>
      <c r="L154" s="15">
        <f t="shared" si="31"/>
        <v>0.08</v>
      </c>
      <c r="M154" s="13">
        <f t="shared" si="32"/>
        <v>1.48</v>
      </c>
      <c r="N154" s="13">
        <f t="shared" si="33"/>
        <v>6.3424999999999976</v>
      </c>
      <c r="O154" s="15">
        <f t="shared" si="34"/>
        <v>0.34283783783783772</v>
      </c>
      <c r="P154" s="16" t="str">
        <f t="shared" si="35"/>
        <v/>
      </c>
      <c r="Q154" s="41" t="str">
        <f t="shared" si="36"/>
        <v/>
      </c>
      <c r="T154" s="42"/>
      <c r="U154" s="16" t="str">
        <f t="shared" si="37"/>
        <v/>
      </c>
      <c r="V154" s="41" t="str">
        <f t="shared" si="38"/>
        <v/>
      </c>
      <c r="W154" s="17" t="str">
        <f t="shared" si="39"/>
        <v/>
      </c>
      <c r="X154" s="41" t="str">
        <f t="shared" si="40"/>
        <v/>
      </c>
      <c r="Y154" s="43" t="str">
        <f t="shared" si="41"/>
        <v/>
      </c>
      <c r="Z154" s="43" t="str">
        <f t="shared" si="42"/>
        <v/>
      </c>
      <c r="AA154" s="44" t="str">
        <f t="shared" si="43"/>
        <v>Sem custo</v>
      </c>
    </row>
    <row r="155" spans="1:27" ht="15" customHeight="1" x14ac:dyDescent="0.25">
      <c r="A155" s="12" t="s">
        <v>248</v>
      </c>
      <c r="B155" s="40">
        <v>3.86</v>
      </c>
      <c r="C155" s="12" t="s">
        <v>249</v>
      </c>
      <c r="D155" s="40">
        <v>16.899999999999999</v>
      </c>
      <c r="E155" s="13">
        <f t="shared" si="44"/>
        <v>2.0279999999999996</v>
      </c>
      <c r="F155" s="14"/>
      <c r="G155" s="15">
        <v>0.12</v>
      </c>
      <c r="H155" s="40">
        <v>6.85</v>
      </c>
      <c r="I155" s="40">
        <v>0</v>
      </c>
      <c r="J155" s="13">
        <f t="shared" si="30"/>
        <v>8.0220000000000002</v>
      </c>
      <c r="K155" s="13"/>
      <c r="L155" s="15">
        <f t="shared" si="31"/>
        <v>0.08</v>
      </c>
      <c r="M155" s="13">
        <f t="shared" si="32"/>
        <v>1.3519999999999999</v>
      </c>
      <c r="N155" s="13">
        <f t="shared" si="33"/>
        <v>2.8100000000000009</v>
      </c>
      <c r="O155" s="15">
        <f t="shared" si="34"/>
        <v>0.1662721893491125</v>
      </c>
      <c r="P155" s="16">
        <f t="shared" si="35"/>
        <v>17.849999999999994</v>
      </c>
      <c r="Q155" s="41">
        <f t="shared" si="36"/>
        <v>0.19999999999999984</v>
      </c>
      <c r="T155" s="42"/>
      <c r="U155" s="16">
        <f t="shared" si="37"/>
        <v>21.419999999999991</v>
      </c>
      <c r="V155" s="41">
        <f t="shared" si="38"/>
        <v>0.16666666666666663</v>
      </c>
      <c r="W155" s="17">
        <f t="shared" si="39"/>
        <v>0.29999999999999982</v>
      </c>
      <c r="X155" s="41">
        <f t="shared" si="40"/>
        <v>0.19999999999999984</v>
      </c>
      <c r="Y155" s="43">
        <f t="shared" si="41"/>
        <v>3.5699999999999963</v>
      </c>
      <c r="Z155" s="43">
        <f t="shared" si="42"/>
        <v>17.849999999999994</v>
      </c>
      <c r="AA155" s="44" t="str">
        <f t="shared" si="43"/>
        <v>OK</v>
      </c>
    </row>
    <row r="156" spans="1:27" ht="15" customHeight="1" x14ac:dyDescent="0.25">
      <c r="A156" s="12" t="s">
        <v>92</v>
      </c>
      <c r="B156" s="45" t="s">
        <v>32</v>
      </c>
      <c r="C156" s="12" t="s">
        <v>250</v>
      </c>
      <c r="D156" s="40">
        <v>26.9</v>
      </c>
      <c r="E156" s="13">
        <f t="shared" si="44"/>
        <v>3.0935000000000001</v>
      </c>
      <c r="F156" s="14"/>
      <c r="G156" s="15">
        <v>0.115</v>
      </c>
      <c r="H156" s="40">
        <v>8.5500000000000007</v>
      </c>
      <c r="I156" s="40">
        <v>0</v>
      </c>
      <c r="J156" s="13">
        <f t="shared" si="30"/>
        <v>15.256499999999999</v>
      </c>
      <c r="K156" s="14"/>
      <c r="L156" s="15">
        <f t="shared" si="31"/>
        <v>0.08</v>
      </c>
      <c r="M156" s="13">
        <f t="shared" si="32"/>
        <v>2.1520000000000001</v>
      </c>
      <c r="N156" s="13">
        <f t="shared" si="33"/>
        <v>13.104499999999998</v>
      </c>
      <c r="O156" s="15">
        <f t="shared" si="34"/>
        <v>0.48715613382899625</v>
      </c>
      <c r="P156" s="16" t="str">
        <f t="shared" si="35"/>
        <v/>
      </c>
      <c r="Q156" s="41" t="str">
        <f t="shared" si="36"/>
        <v/>
      </c>
      <c r="T156" s="42"/>
      <c r="U156" s="16" t="str">
        <f t="shared" si="37"/>
        <v/>
      </c>
      <c r="V156" s="41" t="str">
        <f t="shared" si="38"/>
        <v/>
      </c>
      <c r="W156" s="17" t="str">
        <f t="shared" si="39"/>
        <v/>
      </c>
      <c r="X156" s="41" t="str">
        <f t="shared" si="40"/>
        <v/>
      </c>
      <c r="Y156" s="43" t="str">
        <f t="shared" si="41"/>
        <v/>
      </c>
      <c r="Z156" s="43" t="str">
        <f t="shared" si="42"/>
        <v/>
      </c>
      <c r="AA156" s="44" t="str">
        <f t="shared" si="43"/>
        <v>Sem custo</v>
      </c>
    </row>
    <row r="157" spans="1:27" ht="15" customHeight="1" x14ac:dyDescent="0.25">
      <c r="A157" s="12" t="s">
        <v>251</v>
      </c>
      <c r="B157" s="40">
        <v>5.4</v>
      </c>
      <c r="C157" s="12" t="s">
        <v>252</v>
      </c>
      <c r="D157" s="40">
        <v>18.989999999999998</v>
      </c>
      <c r="E157" s="13">
        <f t="shared" si="44"/>
        <v>2.1838500000000001</v>
      </c>
      <c r="F157" s="14"/>
      <c r="G157" s="15">
        <v>0.115</v>
      </c>
      <c r="H157" s="40">
        <v>6.65</v>
      </c>
      <c r="I157" s="40">
        <v>0</v>
      </c>
      <c r="J157" s="13">
        <f t="shared" si="30"/>
        <v>10.156149999999998</v>
      </c>
      <c r="K157" s="13"/>
      <c r="L157" s="15">
        <f t="shared" si="31"/>
        <v>0.08</v>
      </c>
      <c r="M157" s="13">
        <f t="shared" si="32"/>
        <v>1.5191999999999999</v>
      </c>
      <c r="N157" s="13">
        <f t="shared" si="33"/>
        <v>3.2369499999999984</v>
      </c>
      <c r="O157" s="15">
        <f t="shared" si="34"/>
        <v>0.17045550289626113</v>
      </c>
      <c r="P157" s="16">
        <f t="shared" si="35"/>
        <v>19.917355371900829</v>
      </c>
      <c r="Q157" s="41">
        <f t="shared" si="36"/>
        <v>0.20000000000000009</v>
      </c>
      <c r="T157" s="42"/>
      <c r="U157" s="16">
        <f t="shared" si="37"/>
        <v>23.900826446280995</v>
      </c>
      <c r="V157" s="41">
        <f t="shared" si="38"/>
        <v>0.16666666666666663</v>
      </c>
      <c r="W157" s="17">
        <f t="shared" si="39"/>
        <v>0.30083333333333334</v>
      </c>
      <c r="X157" s="41">
        <f t="shared" si="40"/>
        <v>0.20000000000000009</v>
      </c>
      <c r="Y157" s="43">
        <f t="shared" si="41"/>
        <v>3.9834710743801676</v>
      </c>
      <c r="Z157" s="43">
        <f t="shared" si="42"/>
        <v>19.917355371900829</v>
      </c>
      <c r="AA157" s="44" t="str">
        <f t="shared" si="43"/>
        <v>OK</v>
      </c>
    </row>
    <row r="158" spans="1:27" ht="15" customHeight="1" x14ac:dyDescent="0.25">
      <c r="A158" s="12" t="s">
        <v>253</v>
      </c>
      <c r="B158" s="40">
        <v>7.1</v>
      </c>
      <c r="C158" s="12" t="s">
        <v>254</v>
      </c>
      <c r="D158" s="40">
        <v>20.5</v>
      </c>
      <c r="E158" s="13">
        <f t="shared" si="44"/>
        <v>2.3574999999999999</v>
      </c>
      <c r="F158" s="14"/>
      <c r="G158" s="15">
        <v>0.115</v>
      </c>
      <c r="H158" s="40">
        <v>8.5500000000000007</v>
      </c>
      <c r="I158" s="40">
        <v>0</v>
      </c>
      <c r="J158" s="13">
        <f t="shared" si="30"/>
        <v>9.5924999999999976</v>
      </c>
      <c r="K158" s="13"/>
      <c r="L158" s="15">
        <f t="shared" si="31"/>
        <v>0.08</v>
      </c>
      <c r="M158" s="13">
        <f t="shared" si="32"/>
        <v>1.6400000000000001</v>
      </c>
      <c r="N158" s="13">
        <f t="shared" si="33"/>
        <v>0.85249999999999782</v>
      </c>
      <c r="O158" s="15">
        <f t="shared" si="34"/>
        <v>4.1585365853658428E-2</v>
      </c>
      <c r="P158" s="16">
        <f t="shared" si="35"/>
        <v>25.867768595041323</v>
      </c>
      <c r="Q158" s="41">
        <f t="shared" si="36"/>
        <v>0.2</v>
      </c>
      <c r="T158" s="42"/>
      <c r="U158" s="16">
        <f t="shared" si="37"/>
        <v>31.041322314049587</v>
      </c>
      <c r="V158" s="41">
        <f t="shared" si="38"/>
        <v>0.16666666666666663</v>
      </c>
      <c r="W158" s="17">
        <f t="shared" si="39"/>
        <v>0.30083333333333329</v>
      </c>
      <c r="X158" s="41">
        <f t="shared" si="40"/>
        <v>0.2</v>
      </c>
      <c r="Y158" s="43">
        <f t="shared" si="41"/>
        <v>5.1735537190082646</v>
      </c>
      <c r="Z158" s="43">
        <f t="shared" si="42"/>
        <v>25.867768595041323</v>
      </c>
      <c r="AA158" s="44" t="str">
        <f t="shared" si="43"/>
        <v>OK</v>
      </c>
    </row>
    <row r="159" spans="1:27" ht="15" customHeight="1" x14ac:dyDescent="0.25">
      <c r="A159" s="12" t="s">
        <v>255</v>
      </c>
      <c r="B159" s="40">
        <v>3.02</v>
      </c>
      <c r="C159" s="12" t="s">
        <v>256</v>
      </c>
      <c r="D159" s="40">
        <v>15.9</v>
      </c>
      <c r="E159" s="13">
        <f t="shared" si="44"/>
        <v>2.0670000000000002</v>
      </c>
      <c r="F159" s="14"/>
      <c r="G159" s="15">
        <v>0.13</v>
      </c>
      <c r="H159" s="40">
        <v>8.5500000000000007</v>
      </c>
      <c r="I159" s="40">
        <v>0</v>
      </c>
      <c r="J159" s="13">
        <f t="shared" si="30"/>
        <v>5.2829999999999995</v>
      </c>
      <c r="K159" s="13"/>
      <c r="L159" s="15">
        <f t="shared" si="31"/>
        <v>0.08</v>
      </c>
      <c r="M159" s="13">
        <f t="shared" si="32"/>
        <v>1.272</v>
      </c>
      <c r="N159" s="13">
        <f t="shared" si="33"/>
        <v>0.99099999999999944</v>
      </c>
      <c r="O159" s="15">
        <f t="shared" si="34"/>
        <v>6.2327044025157194E-2</v>
      </c>
      <c r="P159" s="16">
        <f t="shared" si="35"/>
        <v>19.610169491525422</v>
      </c>
      <c r="Q159" s="41">
        <f t="shared" si="36"/>
        <v>0.19999999999999984</v>
      </c>
      <c r="T159" s="42"/>
      <c r="U159" s="16">
        <f t="shared" si="37"/>
        <v>23.532203389830507</v>
      </c>
      <c r="V159" s="41">
        <f t="shared" si="38"/>
        <v>0.16666666666666663</v>
      </c>
      <c r="W159" s="17">
        <f t="shared" si="39"/>
        <v>0.29833333333333328</v>
      </c>
      <c r="X159" s="41">
        <f t="shared" si="40"/>
        <v>0.19999999999999984</v>
      </c>
      <c r="Y159" s="43">
        <f t="shared" si="41"/>
        <v>3.9220338983050813</v>
      </c>
      <c r="Z159" s="43">
        <f t="shared" si="42"/>
        <v>19.610169491525422</v>
      </c>
      <c r="AA159" s="44" t="str">
        <f t="shared" si="43"/>
        <v>OK</v>
      </c>
    </row>
    <row r="160" spans="1:27" ht="15" customHeight="1" x14ac:dyDescent="0.25">
      <c r="A160" s="12" t="s">
        <v>257</v>
      </c>
      <c r="B160" s="40">
        <v>4.09</v>
      </c>
      <c r="C160" s="12" t="s">
        <v>258</v>
      </c>
      <c r="D160" s="40">
        <v>16.5</v>
      </c>
      <c r="E160" s="13">
        <f t="shared" si="44"/>
        <v>1.8975000000000002</v>
      </c>
      <c r="F160" s="14"/>
      <c r="G160" s="15">
        <v>0.115</v>
      </c>
      <c r="H160" s="40">
        <v>8.5500000000000007</v>
      </c>
      <c r="I160" s="40">
        <v>0</v>
      </c>
      <c r="J160" s="13">
        <f t="shared" si="30"/>
        <v>6.0524999999999984</v>
      </c>
      <c r="K160" s="13"/>
      <c r="L160" s="15">
        <f t="shared" si="31"/>
        <v>0.08</v>
      </c>
      <c r="M160" s="13">
        <f t="shared" si="32"/>
        <v>1.32</v>
      </c>
      <c r="N160" s="13">
        <f t="shared" si="33"/>
        <v>0.64249999999999852</v>
      </c>
      <c r="O160" s="15">
        <f t="shared" si="34"/>
        <v>3.893939393939385E-2</v>
      </c>
      <c r="P160" s="16">
        <f t="shared" si="35"/>
        <v>20.892561983471076</v>
      </c>
      <c r="Q160" s="41">
        <f t="shared" si="36"/>
        <v>0.19999999999999998</v>
      </c>
      <c r="T160" s="42"/>
      <c r="U160" s="16">
        <f t="shared" si="37"/>
        <v>25.071074380165289</v>
      </c>
      <c r="V160" s="41">
        <f t="shared" si="38"/>
        <v>0.16666666666666663</v>
      </c>
      <c r="W160" s="17">
        <f t="shared" si="39"/>
        <v>0.30083333333333329</v>
      </c>
      <c r="X160" s="41">
        <f t="shared" si="40"/>
        <v>0.19999999999999998</v>
      </c>
      <c r="Y160" s="43">
        <f t="shared" si="41"/>
        <v>4.1785123966942148</v>
      </c>
      <c r="Z160" s="43">
        <f t="shared" si="42"/>
        <v>20.892561983471076</v>
      </c>
      <c r="AA160" s="44" t="str">
        <f t="shared" si="43"/>
        <v>OK</v>
      </c>
    </row>
    <row r="161" spans="1:27" ht="15" customHeight="1" x14ac:dyDescent="0.25">
      <c r="A161" s="12" t="s">
        <v>92</v>
      </c>
      <c r="B161" s="45" t="s">
        <v>32</v>
      </c>
      <c r="C161" s="12" t="s">
        <v>259</v>
      </c>
      <c r="D161" s="40">
        <v>18.899999999999999</v>
      </c>
      <c r="E161" s="13">
        <f t="shared" si="44"/>
        <v>2.2679999999999998</v>
      </c>
      <c r="F161" s="14"/>
      <c r="G161" s="15">
        <v>0.12</v>
      </c>
      <c r="H161" s="40">
        <v>8.5500000000000007</v>
      </c>
      <c r="I161" s="40">
        <v>0</v>
      </c>
      <c r="J161" s="13">
        <f t="shared" si="30"/>
        <v>8.0819999999999972</v>
      </c>
      <c r="K161" s="14"/>
      <c r="L161" s="15">
        <f t="shared" si="31"/>
        <v>0.08</v>
      </c>
      <c r="M161" s="13">
        <f t="shared" si="32"/>
        <v>1.512</v>
      </c>
      <c r="N161" s="13">
        <f t="shared" si="33"/>
        <v>6.5699999999999967</v>
      </c>
      <c r="O161" s="15">
        <f t="shared" si="34"/>
        <v>0.34761904761904749</v>
      </c>
      <c r="P161" s="16" t="str">
        <f t="shared" si="35"/>
        <v/>
      </c>
      <c r="Q161" s="41" t="str">
        <f t="shared" si="36"/>
        <v/>
      </c>
      <c r="T161" s="42"/>
      <c r="U161" s="16" t="str">
        <f t="shared" si="37"/>
        <v/>
      </c>
      <c r="V161" s="41" t="str">
        <f t="shared" si="38"/>
        <v/>
      </c>
      <c r="W161" s="17" t="str">
        <f t="shared" si="39"/>
        <v/>
      </c>
      <c r="X161" s="41" t="str">
        <f t="shared" si="40"/>
        <v/>
      </c>
      <c r="Y161" s="43" t="str">
        <f t="shared" si="41"/>
        <v/>
      </c>
      <c r="Z161" s="43" t="str">
        <f t="shared" si="42"/>
        <v/>
      </c>
      <c r="AA161" s="44" t="str">
        <f t="shared" si="43"/>
        <v>Sem custo</v>
      </c>
    </row>
    <row r="162" spans="1:27" ht="15" customHeight="1" x14ac:dyDescent="0.25">
      <c r="A162" s="12" t="s">
        <v>92</v>
      </c>
      <c r="B162" s="45" t="s">
        <v>32</v>
      </c>
      <c r="C162" s="12" t="s">
        <v>260</v>
      </c>
      <c r="D162" s="40">
        <v>26.5</v>
      </c>
      <c r="E162" s="13">
        <f t="shared" si="44"/>
        <v>3.1799999999999997</v>
      </c>
      <c r="F162" s="14"/>
      <c r="G162" s="15">
        <v>0.12</v>
      </c>
      <c r="H162" s="40">
        <v>6.65</v>
      </c>
      <c r="I162" s="40">
        <v>0</v>
      </c>
      <c r="J162" s="13">
        <f t="shared" si="30"/>
        <v>16.670000000000002</v>
      </c>
      <c r="K162" s="14"/>
      <c r="L162" s="15">
        <f t="shared" si="31"/>
        <v>0.08</v>
      </c>
      <c r="M162" s="13">
        <f t="shared" si="32"/>
        <v>2.12</v>
      </c>
      <c r="N162" s="13">
        <f t="shared" si="33"/>
        <v>14.55</v>
      </c>
      <c r="O162" s="15">
        <f t="shared" si="34"/>
        <v>0.54905660377358489</v>
      </c>
      <c r="P162" s="16" t="str">
        <f t="shared" si="35"/>
        <v/>
      </c>
      <c r="Q162" s="41" t="str">
        <f t="shared" si="36"/>
        <v/>
      </c>
      <c r="T162" s="42"/>
      <c r="U162" s="16" t="str">
        <f t="shared" si="37"/>
        <v/>
      </c>
      <c r="V162" s="41" t="str">
        <f t="shared" si="38"/>
        <v/>
      </c>
      <c r="W162" s="17" t="str">
        <f t="shared" si="39"/>
        <v/>
      </c>
      <c r="X162" s="41" t="str">
        <f t="shared" si="40"/>
        <v/>
      </c>
      <c r="Y162" s="43" t="str">
        <f t="shared" si="41"/>
        <v/>
      </c>
      <c r="Z162" s="43" t="str">
        <f t="shared" si="42"/>
        <v/>
      </c>
      <c r="AA162" s="44" t="str">
        <f t="shared" si="43"/>
        <v>Sem custo</v>
      </c>
    </row>
    <row r="163" spans="1:27" ht="15" customHeight="1" x14ac:dyDescent="0.25">
      <c r="A163" s="12" t="s">
        <v>92</v>
      </c>
      <c r="B163" s="45" t="s">
        <v>32</v>
      </c>
      <c r="C163" s="12" t="s">
        <v>261</v>
      </c>
      <c r="D163" s="40">
        <v>22.9</v>
      </c>
      <c r="E163" s="13">
        <f t="shared" si="44"/>
        <v>2.7479999999999998</v>
      </c>
      <c r="F163" s="14"/>
      <c r="G163" s="15">
        <v>0.12</v>
      </c>
      <c r="H163" s="40">
        <v>6.55</v>
      </c>
      <c r="I163" s="40">
        <v>0</v>
      </c>
      <c r="J163" s="13">
        <f t="shared" si="30"/>
        <v>13.601999999999997</v>
      </c>
      <c r="K163" s="14"/>
      <c r="L163" s="15">
        <f t="shared" si="31"/>
        <v>0.08</v>
      </c>
      <c r="M163" s="13">
        <f t="shared" si="32"/>
        <v>1.8319999999999999</v>
      </c>
      <c r="N163" s="13">
        <f t="shared" si="33"/>
        <v>11.769999999999996</v>
      </c>
      <c r="O163" s="15">
        <f t="shared" si="34"/>
        <v>0.51397379912663743</v>
      </c>
      <c r="P163" s="16" t="str">
        <f t="shared" si="35"/>
        <v/>
      </c>
      <c r="Q163" s="41" t="str">
        <f t="shared" si="36"/>
        <v/>
      </c>
      <c r="T163" s="42"/>
      <c r="U163" s="16" t="str">
        <f t="shared" si="37"/>
        <v/>
      </c>
      <c r="V163" s="41" t="str">
        <f t="shared" si="38"/>
        <v/>
      </c>
      <c r="W163" s="17" t="str">
        <f t="shared" si="39"/>
        <v/>
      </c>
      <c r="X163" s="41" t="str">
        <f t="shared" si="40"/>
        <v/>
      </c>
      <c r="Y163" s="43" t="str">
        <f t="shared" si="41"/>
        <v/>
      </c>
      <c r="Z163" s="43" t="str">
        <f t="shared" si="42"/>
        <v/>
      </c>
      <c r="AA163" s="44" t="str">
        <f t="shared" si="43"/>
        <v>Sem custo</v>
      </c>
    </row>
    <row r="164" spans="1:27" ht="15" customHeight="1" x14ac:dyDescent="0.25">
      <c r="A164" s="12" t="s">
        <v>262</v>
      </c>
      <c r="B164" s="40">
        <v>7.88</v>
      </c>
      <c r="C164" s="12" t="s">
        <v>263</v>
      </c>
      <c r="D164" s="40">
        <v>22.9</v>
      </c>
      <c r="E164" s="13">
        <f t="shared" si="44"/>
        <v>2.6334999999999997</v>
      </c>
      <c r="F164" s="14"/>
      <c r="G164" s="15">
        <v>0.115</v>
      </c>
      <c r="H164" s="40">
        <v>6.65</v>
      </c>
      <c r="I164" s="40">
        <v>0</v>
      </c>
      <c r="J164" s="13">
        <f t="shared" si="30"/>
        <v>13.6165</v>
      </c>
      <c r="K164" s="13"/>
      <c r="L164" s="15">
        <f t="shared" si="31"/>
        <v>0.08</v>
      </c>
      <c r="M164" s="13">
        <f t="shared" si="32"/>
        <v>1.8319999999999999</v>
      </c>
      <c r="N164" s="13">
        <f t="shared" si="33"/>
        <v>3.9045000000000005</v>
      </c>
      <c r="O164" s="15">
        <f t="shared" si="34"/>
        <v>0.17050218340611356</v>
      </c>
      <c r="P164" s="16">
        <f t="shared" si="35"/>
        <v>24.016528925619838</v>
      </c>
      <c r="Q164" s="41">
        <f t="shared" si="36"/>
        <v>0.20000000000000004</v>
      </c>
      <c r="T164" s="42"/>
      <c r="U164" s="16">
        <f t="shared" si="37"/>
        <v>28.819834710743805</v>
      </c>
      <c r="V164" s="41">
        <f t="shared" si="38"/>
        <v>0.16666666666666663</v>
      </c>
      <c r="W164" s="17">
        <f t="shared" si="39"/>
        <v>0.30083333333333345</v>
      </c>
      <c r="X164" s="41">
        <f t="shared" si="40"/>
        <v>0.20000000000000004</v>
      </c>
      <c r="Y164" s="43">
        <f t="shared" si="41"/>
        <v>4.8033057851239684</v>
      </c>
      <c r="Z164" s="43">
        <f t="shared" si="42"/>
        <v>24.016528925619838</v>
      </c>
      <c r="AA164" s="44" t="str">
        <f t="shared" si="43"/>
        <v>OK</v>
      </c>
    </row>
    <row r="165" spans="1:27" ht="15" customHeight="1" x14ac:dyDescent="0.25">
      <c r="A165" s="12" t="s">
        <v>264</v>
      </c>
      <c r="B165" s="40">
        <v>14.85</v>
      </c>
      <c r="C165" s="12" t="s">
        <v>265</v>
      </c>
      <c r="D165" s="40">
        <v>39.9</v>
      </c>
      <c r="E165" s="13">
        <f t="shared" si="44"/>
        <v>4.5884999999999998</v>
      </c>
      <c r="F165" s="14"/>
      <c r="G165" s="15">
        <v>0.115</v>
      </c>
      <c r="H165" s="40">
        <v>6.65</v>
      </c>
      <c r="I165" s="40">
        <v>0</v>
      </c>
      <c r="J165" s="13">
        <f t="shared" si="30"/>
        <v>28.661499999999997</v>
      </c>
      <c r="K165" s="13"/>
      <c r="L165" s="15">
        <f t="shared" si="31"/>
        <v>0.08</v>
      </c>
      <c r="M165" s="13">
        <f t="shared" si="32"/>
        <v>3.1920000000000002</v>
      </c>
      <c r="N165" s="13">
        <f t="shared" si="33"/>
        <v>10.619499999999997</v>
      </c>
      <c r="O165" s="15">
        <f t="shared" si="34"/>
        <v>0.2661528822055137</v>
      </c>
      <c r="P165" s="16">
        <f t="shared" si="35"/>
        <v>35.537190082644628</v>
      </c>
      <c r="Q165" s="41">
        <f t="shared" si="36"/>
        <v>0.2</v>
      </c>
      <c r="T165" s="42"/>
      <c r="U165" s="16">
        <f t="shared" si="37"/>
        <v>42.644628099173552</v>
      </c>
      <c r="V165" s="41">
        <f t="shared" si="38"/>
        <v>0.16666666666666663</v>
      </c>
      <c r="W165" s="17">
        <f t="shared" si="39"/>
        <v>0.30083333333333334</v>
      </c>
      <c r="X165" s="41">
        <f t="shared" si="40"/>
        <v>0.2</v>
      </c>
      <c r="Y165" s="43">
        <f t="shared" si="41"/>
        <v>7.1074380165289259</v>
      </c>
      <c r="Z165" s="43">
        <f t="shared" si="42"/>
        <v>35.537190082644628</v>
      </c>
      <c r="AA165" s="44" t="str">
        <f t="shared" si="43"/>
        <v>OK</v>
      </c>
    </row>
    <row r="166" spans="1:27" ht="15" customHeight="1" x14ac:dyDescent="0.25">
      <c r="A166" s="12" t="s">
        <v>266</v>
      </c>
      <c r="B166" s="40">
        <v>10</v>
      </c>
      <c r="C166" s="12" t="s">
        <v>267</v>
      </c>
      <c r="D166" s="40">
        <v>29.9</v>
      </c>
      <c r="E166" s="13">
        <f t="shared" si="44"/>
        <v>3.4384999999999999</v>
      </c>
      <c r="F166" s="14"/>
      <c r="G166" s="15">
        <v>0.115</v>
      </c>
      <c r="H166" s="40">
        <v>6.55</v>
      </c>
      <c r="I166" s="40">
        <v>0</v>
      </c>
      <c r="J166" s="13">
        <f t="shared" si="30"/>
        <v>19.911499999999997</v>
      </c>
      <c r="K166" s="13"/>
      <c r="L166" s="15">
        <f t="shared" si="31"/>
        <v>0.08</v>
      </c>
      <c r="M166" s="13">
        <f t="shared" si="32"/>
        <v>2.3919999999999999</v>
      </c>
      <c r="N166" s="13">
        <f t="shared" si="33"/>
        <v>7.5194999999999972</v>
      </c>
      <c r="O166" s="15">
        <f t="shared" si="34"/>
        <v>0.25148829431438119</v>
      </c>
      <c r="P166" s="16">
        <f t="shared" si="35"/>
        <v>27.355371900826448</v>
      </c>
      <c r="Q166" s="41">
        <f t="shared" si="36"/>
        <v>0.19999999999999998</v>
      </c>
      <c r="T166" s="42"/>
      <c r="U166" s="16">
        <f t="shared" si="37"/>
        <v>32.826446280991739</v>
      </c>
      <c r="V166" s="41">
        <f t="shared" si="38"/>
        <v>0.16666666666666674</v>
      </c>
      <c r="W166" s="17">
        <f t="shared" si="39"/>
        <v>0.3008333333333334</v>
      </c>
      <c r="X166" s="41">
        <f t="shared" si="40"/>
        <v>0.19999999999999998</v>
      </c>
      <c r="Y166" s="43">
        <f t="shared" si="41"/>
        <v>5.4710743801652892</v>
      </c>
      <c r="Z166" s="43">
        <f t="shared" si="42"/>
        <v>27.355371900826448</v>
      </c>
      <c r="AA166" s="44" t="str">
        <f t="shared" si="43"/>
        <v>OK</v>
      </c>
    </row>
    <row r="167" spans="1:27" ht="15" customHeight="1" x14ac:dyDescent="0.25">
      <c r="A167" s="12" t="s">
        <v>268</v>
      </c>
      <c r="B167" s="40">
        <v>16.95</v>
      </c>
      <c r="C167" s="12" t="s">
        <v>269</v>
      </c>
      <c r="D167" s="40">
        <v>37.9</v>
      </c>
      <c r="E167" s="13">
        <f t="shared" si="44"/>
        <v>4.3585000000000003</v>
      </c>
      <c r="F167" s="14"/>
      <c r="G167" s="15">
        <v>0.115</v>
      </c>
      <c r="H167" s="40">
        <v>6.75</v>
      </c>
      <c r="I167" s="40">
        <v>0</v>
      </c>
      <c r="J167" s="13">
        <f t="shared" si="30"/>
        <v>26.791499999999999</v>
      </c>
      <c r="K167" s="13"/>
      <c r="L167" s="15">
        <f t="shared" si="31"/>
        <v>0.08</v>
      </c>
      <c r="M167" s="13">
        <f t="shared" si="32"/>
        <v>3.032</v>
      </c>
      <c r="N167" s="13">
        <f t="shared" si="33"/>
        <v>6.8094999999999999</v>
      </c>
      <c r="O167" s="15">
        <f t="shared" si="34"/>
        <v>0.17967018469656992</v>
      </c>
      <c r="P167" s="16">
        <f t="shared" si="35"/>
        <v>39.173553719008261</v>
      </c>
      <c r="Q167" s="41">
        <f t="shared" si="36"/>
        <v>0.19999999999999996</v>
      </c>
      <c r="T167" s="42"/>
      <c r="U167" s="16">
        <f t="shared" si="37"/>
        <v>47.008264462809912</v>
      </c>
      <c r="V167" s="41">
        <f t="shared" si="38"/>
        <v>0.16666666666666663</v>
      </c>
      <c r="W167" s="17">
        <f t="shared" si="39"/>
        <v>0.30083333333333334</v>
      </c>
      <c r="X167" s="41">
        <f t="shared" si="40"/>
        <v>0.19999999999999996</v>
      </c>
      <c r="Y167" s="43">
        <f t="shared" si="41"/>
        <v>7.8347107438016508</v>
      </c>
      <c r="Z167" s="43">
        <f t="shared" si="42"/>
        <v>39.173553719008261</v>
      </c>
      <c r="AA167" s="44" t="str">
        <f t="shared" si="43"/>
        <v>OK</v>
      </c>
    </row>
    <row r="168" spans="1:27" ht="15" customHeight="1" x14ac:dyDescent="0.25">
      <c r="A168" s="12" t="s">
        <v>270</v>
      </c>
      <c r="B168" s="40">
        <v>33.51</v>
      </c>
      <c r="C168" s="12" t="s">
        <v>271</v>
      </c>
      <c r="D168" s="40">
        <v>68.900000000000006</v>
      </c>
      <c r="E168" s="13">
        <f t="shared" si="44"/>
        <v>7.9235000000000007</v>
      </c>
      <c r="F168" s="14"/>
      <c r="G168" s="15">
        <v>0.115</v>
      </c>
      <c r="H168" s="40">
        <v>8.5500000000000007</v>
      </c>
      <c r="I168" s="40">
        <v>0</v>
      </c>
      <c r="J168" s="13">
        <f t="shared" si="30"/>
        <v>52.426500000000004</v>
      </c>
      <c r="K168" s="13"/>
      <c r="L168" s="15">
        <f t="shared" si="31"/>
        <v>0.08</v>
      </c>
      <c r="M168" s="13">
        <f t="shared" si="32"/>
        <v>5.5120000000000005</v>
      </c>
      <c r="N168" s="13">
        <f t="shared" si="33"/>
        <v>13.404500000000006</v>
      </c>
      <c r="O168" s="15">
        <f t="shared" si="34"/>
        <v>0.19455007256894055</v>
      </c>
      <c r="P168" s="16">
        <f t="shared" si="35"/>
        <v>69.520661157024804</v>
      </c>
      <c r="Q168" s="41">
        <f t="shared" si="36"/>
        <v>0.20000000000000015</v>
      </c>
      <c r="T168" s="42"/>
      <c r="U168" s="16">
        <f t="shared" si="37"/>
        <v>83.424793388429762</v>
      </c>
      <c r="V168" s="41">
        <f t="shared" si="38"/>
        <v>0.16666666666666663</v>
      </c>
      <c r="W168" s="17">
        <f t="shared" si="39"/>
        <v>0.40332085116500249</v>
      </c>
      <c r="X168" s="41">
        <f t="shared" si="40"/>
        <v>0.20000000000000015</v>
      </c>
      <c r="Y168" s="43">
        <f t="shared" si="41"/>
        <v>13.904132231404972</v>
      </c>
      <c r="Z168" s="43">
        <f t="shared" si="42"/>
        <v>69.520661157024804</v>
      </c>
      <c r="AA168" s="44" t="str">
        <f t="shared" si="43"/>
        <v>OK</v>
      </c>
    </row>
    <row r="169" spans="1:27" ht="15" customHeight="1" x14ac:dyDescent="0.25">
      <c r="A169" s="12" t="s">
        <v>272</v>
      </c>
      <c r="B169" s="40">
        <v>5.15</v>
      </c>
      <c r="C169" s="12" t="s">
        <v>273</v>
      </c>
      <c r="D169" s="40">
        <v>18.899999999999999</v>
      </c>
      <c r="E169" s="13">
        <f t="shared" si="44"/>
        <v>2.1734999999999998</v>
      </c>
      <c r="F169" s="14"/>
      <c r="G169" s="15">
        <v>0.115</v>
      </c>
      <c r="H169" s="40">
        <v>8.5500000000000007</v>
      </c>
      <c r="I169" s="40">
        <v>0</v>
      </c>
      <c r="J169" s="13">
        <f t="shared" si="30"/>
        <v>8.1764999999999972</v>
      </c>
      <c r="K169" s="13"/>
      <c r="L169" s="15">
        <f t="shared" si="31"/>
        <v>0.08</v>
      </c>
      <c r="M169" s="13">
        <f t="shared" si="32"/>
        <v>1.512</v>
      </c>
      <c r="N169" s="13">
        <f t="shared" si="33"/>
        <v>1.5144999999999968</v>
      </c>
      <c r="O169" s="15">
        <f t="shared" si="34"/>
        <v>8.0132275132274972E-2</v>
      </c>
      <c r="P169" s="16">
        <f t="shared" si="35"/>
        <v>22.644628099173556</v>
      </c>
      <c r="Q169" s="41">
        <f t="shared" si="36"/>
        <v>0.20000000000000007</v>
      </c>
      <c r="T169" s="42"/>
      <c r="U169" s="16">
        <f t="shared" si="37"/>
        <v>27.173553719008265</v>
      </c>
      <c r="V169" s="41">
        <f t="shared" si="38"/>
        <v>0.16666666666666663</v>
      </c>
      <c r="W169" s="17">
        <f t="shared" si="39"/>
        <v>0.30083333333333334</v>
      </c>
      <c r="X169" s="41">
        <f t="shared" si="40"/>
        <v>0.20000000000000007</v>
      </c>
      <c r="Y169" s="43">
        <f t="shared" si="41"/>
        <v>4.5289256198347125</v>
      </c>
      <c r="Z169" s="43">
        <f t="shared" si="42"/>
        <v>22.644628099173556</v>
      </c>
      <c r="AA169" s="44" t="str">
        <f t="shared" si="43"/>
        <v>OK</v>
      </c>
    </row>
    <row r="170" spans="1:27" ht="15" customHeight="1" x14ac:dyDescent="0.25">
      <c r="A170" s="12" t="s">
        <v>274</v>
      </c>
      <c r="B170" s="40">
        <v>0</v>
      </c>
      <c r="C170" s="12" t="s">
        <v>275</v>
      </c>
      <c r="D170" s="40">
        <v>22.9</v>
      </c>
      <c r="E170" s="13">
        <f t="shared" si="44"/>
        <v>2.6334999999999997</v>
      </c>
      <c r="F170" s="14"/>
      <c r="G170" s="15">
        <v>0.115</v>
      </c>
      <c r="H170" s="40">
        <v>6.95</v>
      </c>
      <c r="I170" s="40">
        <v>0</v>
      </c>
      <c r="J170" s="13">
        <f t="shared" si="30"/>
        <v>13.316500000000001</v>
      </c>
      <c r="K170" s="13"/>
      <c r="L170" s="15">
        <f t="shared" si="31"/>
        <v>0.08</v>
      </c>
      <c r="M170" s="13">
        <f t="shared" si="32"/>
        <v>1.8319999999999999</v>
      </c>
      <c r="N170" s="13">
        <f t="shared" si="33"/>
        <v>11.484500000000001</v>
      </c>
      <c r="O170" s="15">
        <f t="shared" si="34"/>
        <v>0.50150655021834067</v>
      </c>
      <c r="P170" s="16">
        <f t="shared" si="35"/>
        <v>11.487603305785125</v>
      </c>
      <c r="Q170" s="41">
        <f t="shared" si="36"/>
        <v>0.20000000000000009</v>
      </c>
      <c r="T170" s="42"/>
      <c r="U170" s="16">
        <f t="shared" si="37"/>
        <v>13.78512396694215</v>
      </c>
      <c r="V170" s="41">
        <f t="shared" si="38"/>
        <v>0.16666666666666663</v>
      </c>
      <c r="W170" s="17">
        <f t="shared" si="39"/>
        <v>0.30083333333333334</v>
      </c>
      <c r="X170" s="41">
        <f t="shared" si="40"/>
        <v>0.20000000000000009</v>
      </c>
      <c r="Y170" s="43">
        <f t="shared" si="41"/>
        <v>2.297520661157026</v>
      </c>
      <c r="Z170" s="43">
        <f t="shared" si="42"/>
        <v>11.487603305785125</v>
      </c>
      <c r="AA170" s="44" t="str">
        <f t="shared" si="43"/>
        <v>OK</v>
      </c>
    </row>
    <row r="171" spans="1:27" ht="15" customHeight="1" x14ac:dyDescent="0.25">
      <c r="A171" s="12" t="s">
        <v>276</v>
      </c>
      <c r="B171" s="40">
        <v>15.66</v>
      </c>
      <c r="C171" s="12" t="s">
        <v>277</v>
      </c>
      <c r="D171" s="40">
        <v>42.9</v>
      </c>
      <c r="E171" s="13">
        <f t="shared" si="44"/>
        <v>4.9335000000000004</v>
      </c>
      <c r="F171" s="14"/>
      <c r="G171" s="15">
        <v>0.115</v>
      </c>
      <c r="H171" s="40">
        <v>6.65</v>
      </c>
      <c r="I171" s="40">
        <v>0</v>
      </c>
      <c r="J171" s="13">
        <f t="shared" si="30"/>
        <v>31.316499999999998</v>
      </c>
      <c r="K171" s="13"/>
      <c r="L171" s="15">
        <f t="shared" si="31"/>
        <v>0.08</v>
      </c>
      <c r="M171" s="13">
        <f t="shared" si="32"/>
        <v>3.4319999999999999</v>
      </c>
      <c r="N171" s="13">
        <f t="shared" si="33"/>
        <v>12.224499999999997</v>
      </c>
      <c r="O171" s="15">
        <f t="shared" si="34"/>
        <v>0.28495337995337988</v>
      </c>
      <c r="P171" s="16">
        <f t="shared" si="35"/>
        <v>36.876033057851245</v>
      </c>
      <c r="Q171" s="41">
        <f t="shared" si="36"/>
        <v>0.2</v>
      </c>
      <c r="T171" s="42"/>
      <c r="U171" s="16">
        <f t="shared" si="37"/>
        <v>44.251239669421494</v>
      </c>
      <c r="V171" s="41">
        <f t="shared" si="38"/>
        <v>0.16666666666666663</v>
      </c>
      <c r="W171" s="17">
        <f t="shared" si="39"/>
        <v>0.30083333333333345</v>
      </c>
      <c r="X171" s="41">
        <f t="shared" si="40"/>
        <v>0.2</v>
      </c>
      <c r="Y171" s="43">
        <f t="shared" si="41"/>
        <v>7.375206611570249</v>
      </c>
      <c r="Z171" s="43">
        <f t="shared" si="42"/>
        <v>36.876033057851245</v>
      </c>
      <c r="AA171" s="44" t="str">
        <f t="shared" si="43"/>
        <v>OK</v>
      </c>
    </row>
    <row r="172" spans="1:27" ht="15" customHeight="1" x14ac:dyDescent="0.25">
      <c r="A172" s="12" t="s">
        <v>278</v>
      </c>
      <c r="B172" s="40">
        <v>7.98</v>
      </c>
      <c r="C172" s="12" t="s">
        <v>279</v>
      </c>
      <c r="D172" s="40">
        <v>23.9</v>
      </c>
      <c r="E172" s="13">
        <f t="shared" si="44"/>
        <v>2.7484999999999999</v>
      </c>
      <c r="F172" s="14"/>
      <c r="G172" s="15">
        <v>0.115</v>
      </c>
      <c r="H172" s="40">
        <v>6.65</v>
      </c>
      <c r="I172" s="40">
        <v>0</v>
      </c>
      <c r="J172" s="13">
        <f t="shared" si="30"/>
        <v>14.501499999999998</v>
      </c>
      <c r="K172" s="13"/>
      <c r="L172" s="15">
        <f t="shared" si="31"/>
        <v>0.08</v>
      </c>
      <c r="M172" s="13">
        <f t="shared" si="32"/>
        <v>1.9119999999999999</v>
      </c>
      <c r="N172" s="13">
        <f t="shared" si="33"/>
        <v>4.6094999999999979</v>
      </c>
      <c r="O172" s="15">
        <f t="shared" si="34"/>
        <v>0.19286610878661081</v>
      </c>
      <c r="P172" s="16">
        <f t="shared" si="35"/>
        <v>24.181818181818183</v>
      </c>
      <c r="Q172" s="41">
        <f t="shared" si="36"/>
        <v>0.19999999999999998</v>
      </c>
      <c r="T172" s="42"/>
      <c r="U172" s="16">
        <f t="shared" si="37"/>
        <v>29.018181818181819</v>
      </c>
      <c r="V172" s="41">
        <f t="shared" si="38"/>
        <v>0.16666666666666663</v>
      </c>
      <c r="W172" s="17">
        <f t="shared" si="39"/>
        <v>0.30083333333333317</v>
      </c>
      <c r="X172" s="41">
        <f t="shared" si="40"/>
        <v>0.19999999999999998</v>
      </c>
      <c r="Y172" s="43">
        <f t="shared" si="41"/>
        <v>4.836363636363636</v>
      </c>
      <c r="Z172" s="43">
        <f t="shared" si="42"/>
        <v>24.181818181818183</v>
      </c>
      <c r="AA172" s="44" t="str">
        <f t="shared" si="43"/>
        <v>OK</v>
      </c>
    </row>
    <row r="173" spans="1:27" ht="15" customHeight="1" x14ac:dyDescent="0.25">
      <c r="A173" s="12" t="s">
        <v>280</v>
      </c>
      <c r="B173" s="40">
        <v>6.02</v>
      </c>
      <c r="C173" s="12" t="s">
        <v>281</v>
      </c>
      <c r="D173" s="40">
        <v>20.9</v>
      </c>
      <c r="E173" s="13">
        <f t="shared" si="44"/>
        <v>2.4034999999999997</v>
      </c>
      <c r="F173" s="14"/>
      <c r="G173" s="15">
        <v>0.115</v>
      </c>
      <c r="H173" s="40">
        <v>6.75</v>
      </c>
      <c r="I173" s="40">
        <v>0</v>
      </c>
      <c r="J173" s="13">
        <f t="shared" si="30"/>
        <v>11.746499999999997</v>
      </c>
      <c r="K173" s="13"/>
      <c r="L173" s="15">
        <f t="shared" si="31"/>
        <v>0.08</v>
      </c>
      <c r="M173" s="13">
        <f t="shared" si="32"/>
        <v>1.6719999999999999</v>
      </c>
      <c r="N173" s="13">
        <f t="shared" si="33"/>
        <v>4.0544999999999982</v>
      </c>
      <c r="O173" s="15">
        <f t="shared" si="34"/>
        <v>0.19399521531100472</v>
      </c>
      <c r="P173" s="16">
        <f t="shared" si="35"/>
        <v>21.107438016528924</v>
      </c>
      <c r="Q173" s="41">
        <f t="shared" si="36"/>
        <v>0.19999999999999996</v>
      </c>
      <c r="T173" s="42"/>
      <c r="U173" s="16">
        <f t="shared" si="37"/>
        <v>25.32892561983471</v>
      </c>
      <c r="V173" s="41">
        <f t="shared" si="38"/>
        <v>0.16666666666666674</v>
      </c>
      <c r="W173" s="17">
        <f t="shared" si="39"/>
        <v>0.30083333333333334</v>
      </c>
      <c r="X173" s="41">
        <f t="shared" si="40"/>
        <v>0.19999999999999996</v>
      </c>
      <c r="Y173" s="43">
        <f t="shared" si="41"/>
        <v>4.2214876033057838</v>
      </c>
      <c r="Z173" s="43">
        <f t="shared" si="42"/>
        <v>21.107438016528924</v>
      </c>
      <c r="AA173" s="44" t="str">
        <f t="shared" si="43"/>
        <v>OK</v>
      </c>
    </row>
    <row r="174" spans="1:27" ht="15" customHeight="1" x14ac:dyDescent="0.25">
      <c r="A174" s="12" t="s">
        <v>282</v>
      </c>
      <c r="B174" s="40">
        <v>11.44</v>
      </c>
      <c r="C174" s="12" t="s">
        <v>283</v>
      </c>
      <c r="D174" s="40">
        <v>32.9</v>
      </c>
      <c r="E174" s="13">
        <f t="shared" si="44"/>
        <v>3.7835000000000001</v>
      </c>
      <c r="F174" s="14"/>
      <c r="G174" s="15">
        <v>0.115</v>
      </c>
      <c r="H174" s="40">
        <v>6.75</v>
      </c>
      <c r="I174" s="40">
        <v>0</v>
      </c>
      <c r="J174" s="13">
        <f t="shared" si="30"/>
        <v>22.366499999999998</v>
      </c>
      <c r="K174" s="13"/>
      <c r="L174" s="15">
        <f t="shared" si="31"/>
        <v>0.08</v>
      </c>
      <c r="M174" s="13">
        <f t="shared" si="32"/>
        <v>2.6320000000000001</v>
      </c>
      <c r="N174" s="13">
        <f t="shared" si="33"/>
        <v>8.2944999999999993</v>
      </c>
      <c r="O174" s="15">
        <f t="shared" si="34"/>
        <v>0.25211246200607901</v>
      </c>
      <c r="P174" s="16">
        <f t="shared" si="35"/>
        <v>30.066115702479337</v>
      </c>
      <c r="Q174" s="41">
        <f t="shared" si="36"/>
        <v>0.19999999999999993</v>
      </c>
      <c r="T174" s="42"/>
      <c r="U174" s="16">
        <f t="shared" si="37"/>
        <v>36.079338842975204</v>
      </c>
      <c r="V174" s="41">
        <f t="shared" si="38"/>
        <v>0.16666666666666663</v>
      </c>
      <c r="W174" s="17">
        <f t="shared" si="39"/>
        <v>0.30083333333333329</v>
      </c>
      <c r="X174" s="41">
        <f t="shared" si="40"/>
        <v>0.19999999999999993</v>
      </c>
      <c r="Y174" s="43">
        <f t="shared" si="41"/>
        <v>6.0132231404958656</v>
      </c>
      <c r="Z174" s="43">
        <f t="shared" si="42"/>
        <v>30.066115702479337</v>
      </c>
      <c r="AA174" s="44" t="str">
        <f t="shared" si="43"/>
        <v>OK</v>
      </c>
    </row>
    <row r="175" spans="1:27" ht="15" customHeight="1" x14ac:dyDescent="0.25">
      <c r="A175" s="12" t="s">
        <v>92</v>
      </c>
      <c r="B175" s="45" t="s">
        <v>32</v>
      </c>
      <c r="C175" s="12" t="s">
        <v>284</v>
      </c>
      <c r="D175" s="40">
        <v>34.9</v>
      </c>
      <c r="E175" s="13">
        <f t="shared" si="44"/>
        <v>4.0134999999999996</v>
      </c>
      <c r="F175" s="14"/>
      <c r="G175" s="15">
        <v>0.115</v>
      </c>
      <c r="H175" s="40">
        <v>6.55</v>
      </c>
      <c r="I175" s="40">
        <v>0</v>
      </c>
      <c r="J175" s="13">
        <f t="shared" si="30"/>
        <v>24.336499999999997</v>
      </c>
      <c r="K175" s="14"/>
      <c r="L175" s="15">
        <f t="shared" si="31"/>
        <v>0.08</v>
      </c>
      <c r="M175" s="13">
        <f t="shared" si="32"/>
        <v>2.7919999999999998</v>
      </c>
      <c r="N175" s="13">
        <f t="shared" si="33"/>
        <v>21.544499999999999</v>
      </c>
      <c r="O175" s="15">
        <f t="shared" si="34"/>
        <v>0.61732091690544411</v>
      </c>
      <c r="P175" s="16" t="str">
        <f t="shared" si="35"/>
        <v/>
      </c>
      <c r="Q175" s="41" t="str">
        <f t="shared" si="36"/>
        <v/>
      </c>
      <c r="T175" s="42"/>
      <c r="U175" s="16" t="str">
        <f t="shared" si="37"/>
        <v/>
      </c>
      <c r="V175" s="41" t="str">
        <f t="shared" si="38"/>
        <v/>
      </c>
      <c r="W175" s="17" t="str">
        <f t="shared" si="39"/>
        <v/>
      </c>
      <c r="X175" s="41" t="str">
        <f t="shared" si="40"/>
        <v/>
      </c>
      <c r="Y175" s="43" t="str">
        <f t="shared" si="41"/>
        <v/>
      </c>
      <c r="Z175" s="43" t="str">
        <f t="shared" si="42"/>
        <v/>
      </c>
      <c r="AA175" s="44" t="str">
        <f t="shared" si="43"/>
        <v>Sem custo</v>
      </c>
    </row>
    <row r="176" spans="1:27" ht="15" customHeight="1" x14ac:dyDescent="0.25">
      <c r="A176" s="12" t="s">
        <v>285</v>
      </c>
      <c r="B176" s="40">
        <v>11.66</v>
      </c>
      <c r="C176" s="12" t="s">
        <v>286</v>
      </c>
      <c r="D176" s="40">
        <v>25.53</v>
      </c>
      <c r="E176" s="13">
        <f t="shared" si="44"/>
        <v>2.9359500000000001</v>
      </c>
      <c r="F176" s="14"/>
      <c r="G176" s="15">
        <v>0.115</v>
      </c>
      <c r="H176" s="40">
        <v>6.65</v>
      </c>
      <c r="I176" s="40">
        <v>0</v>
      </c>
      <c r="J176" s="13">
        <f t="shared" si="30"/>
        <v>15.944050000000002</v>
      </c>
      <c r="K176" s="13"/>
      <c r="L176" s="15">
        <f t="shared" si="31"/>
        <v>0.08</v>
      </c>
      <c r="M176" s="13">
        <f t="shared" si="32"/>
        <v>2.0424000000000002</v>
      </c>
      <c r="N176" s="13">
        <f t="shared" si="33"/>
        <v>2.2416500000000021</v>
      </c>
      <c r="O176" s="15">
        <f t="shared" si="34"/>
        <v>8.7804543674108976E-2</v>
      </c>
      <c r="P176" s="16">
        <f t="shared" si="35"/>
        <v>30.264462809917362</v>
      </c>
      <c r="Q176" s="41">
        <f t="shared" si="36"/>
        <v>0.20000000000000026</v>
      </c>
      <c r="T176" s="42"/>
      <c r="U176" s="16">
        <f t="shared" si="37"/>
        <v>36.317355371900831</v>
      </c>
      <c r="V176" s="41">
        <f t="shared" si="38"/>
        <v>0.16666666666666663</v>
      </c>
      <c r="W176" s="17">
        <f t="shared" si="39"/>
        <v>0.30083333333333351</v>
      </c>
      <c r="X176" s="41">
        <f t="shared" si="40"/>
        <v>0.20000000000000026</v>
      </c>
      <c r="Y176" s="43">
        <f t="shared" si="41"/>
        <v>6.0528925619834801</v>
      </c>
      <c r="Z176" s="43">
        <f t="shared" si="42"/>
        <v>30.264462809917362</v>
      </c>
      <c r="AA176" s="44" t="str">
        <f t="shared" si="43"/>
        <v>OK</v>
      </c>
    </row>
    <row r="177" spans="1:27" ht="15" customHeight="1" x14ac:dyDescent="0.25">
      <c r="A177" s="12" t="s">
        <v>92</v>
      </c>
      <c r="B177" s="45" t="s">
        <v>32</v>
      </c>
      <c r="C177" s="12" t="s">
        <v>287</v>
      </c>
      <c r="D177" s="40">
        <v>42.9</v>
      </c>
      <c r="E177" s="13">
        <f t="shared" si="44"/>
        <v>4.9335000000000004</v>
      </c>
      <c r="F177" s="14"/>
      <c r="G177" s="15">
        <v>0.115</v>
      </c>
      <c r="H177" s="40">
        <v>6.75</v>
      </c>
      <c r="I177" s="40">
        <v>0</v>
      </c>
      <c r="J177" s="13">
        <f t="shared" si="30"/>
        <v>31.216499999999996</v>
      </c>
      <c r="K177" s="14"/>
      <c r="L177" s="15">
        <f t="shared" si="31"/>
        <v>0.08</v>
      </c>
      <c r="M177" s="13">
        <f t="shared" si="32"/>
        <v>3.4319999999999999</v>
      </c>
      <c r="N177" s="13">
        <f t="shared" si="33"/>
        <v>27.784499999999998</v>
      </c>
      <c r="O177" s="15">
        <f t="shared" si="34"/>
        <v>0.64765734265734265</v>
      </c>
      <c r="P177" s="16" t="str">
        <f t="shared" si="35"/>
        <v/>
      </c>
      <c r="Q177" s="41" t="str">
        <f t="shared" si="36"/>
        <v/>
      </c>
      <c r="T177" s="42"/>
      <c r="U177" s="16" t="str">
        <f t="shared" si="37"/>
        <v/>
      </c>
      <c r="V177" s="41" t="str">
        <f t="shared" si="38"/>
        <v/>
      </c>
      <c r="W177" s="17" t="str">
        <f t="shared" si="39"/>
        <v/>
      </c>
      <c r="X177" s="41" t="str">
        <f t="shared" si="40"/>
        <v/>
      </c>
      <c r="Y177" s="43" t="str">
        <f t="shared" si="41"/>
        <v/>
      </c>
      <c r="Z177" s="43" t="str">
        <f t="shared" si="42"/>
        <v/>
      </c>
      <c r="AA177" s="44" t="str">
        <f t="shared" si="43"/>
        <v>Sem custo</v>
      </c>
    </row>
    <row r="178" spans="1:27" ht="15" customHeight="1" x14ac:dyDescent="0.25">
      <c r="A178" s="12" t="s">
        <v>92</v>
      </c>
      <c r="B178" s="45" t="s">
        <v>32</v>
      </c>
      <c r="C178" s="12" t="s">
        <v>288</v>
      </c>
      <c r="D178" s="40">
        <v>25.5</v>
      </c>
      <c r="E178" s="13">
        <f t="shared" si="44"/>
        <v>2.9325000000000001</v>
      </c>
      <c r="F178" s="14"/>
      <c r="G178" s="15">
        <v>0.115</v>
      </c>
      <c r="H178" s="40">
        <v>6.55</v>
      </c>
      <c r="I178" s="40">
        <v>0</v>
      </c>
      <c r="J178" s="13">
        <f t="shared" si="30"/>
        <v>16.017499999999998</v>
      </c>
      <c r="K178" s="14"/>
      <c r="L178" s="15">
        <f t="shared" si="31"/>
        <v>0.08</v>
      </c>
      <c r="M178" s="13">
        <f t="shared" si="32"/>
        <v>2.04</v>
      </c>
      <c r="N178" s="13">
        <f t="shared" si="33"/>
        <v>13.977499999999999</v>
      </c>
      <c r="O178" s="15">
        <f t="shared" si="34"/>
        <v>0.54813725490196075</v>
      </c>
      <c r="P178" s="16" t="str">
        <f t="shared" si="35"/>
        <v/>
      </c>
      <c r="Q178" s="41" t="str">
        <f t="shared" si="36"/>
        <v/>
      </c>
      <c r="T178" s="42"/>
      <c r="U178" s="16" t="str">
        <f t="shared" si="37"/>
        <v/>
      </c>
      <c r="V178" s="41" t="str">
        <f t="shared" si="38"/>
        <v/>
      </c>
      <c r="W178" s="17" t="str">
        <f t="shared" si="39"/>
        <v/>
      </c>
      <c r="X178" s="41" t="str">
        <f t="shared" si="40"/>
        <v/>
      </c>
      <c r="Y178" s="43" t="str">
        <f t="shared" si="41"/>
        <v/>
      </c>
      <c r="Z178" s="43" t="str">
        <f t="shared" si="42"/>
        <v/>
      </c>
      <c r="AA178" s="44" t="str">
        <f t="shared" si="43"/>
        <v>Sem custo</v>
      </c>
    </row>
    <row r="179" spans="1:27" ht="15" customHeight="1" x14ac:dyDescent="0.25">
      <c r="A179" s="12" t="s">
        <v>285</v>
      </c>
      <c r="B179" s="40">
        <v>11.66</v>
      </c>
      <c r="C179" s="12" t="s">
        <v>289</v>
      </c>
      <c r="D179" s="40">
        <v>25.53</v>
      </c>
      <c r="E179" s="13">
        <f t="shared" si="44"/>
        <v>2.9359500000000001</v>
      </c>
      <c r="F179" s="14"/>
      <c r="G179" s="15">
        <v>0.115</v>
      </c>
      <c r="H179" s="40">
        <v>6.65</v>
      </c>
      <c r="I179" s="40">
        <v>0</v>
      </c>
      <c r="J179" s="13">
        <f t="shared" si="30"/>
        <v>15.944050000000002</v>
      </c>
      <c r="K179" s="13"/>
      <c r="L179" s="15">
        <f t="shared" si="31"/>
        <v>0.08</v>
      </c>
      <c r="M179" s="13">
        <f t="shared" si="32"/>
        <v>2.0424000000000002</v>
      </c>
      <c r="N179" s="13">
        <f t="shared" si="33"/>
        <v>2.2416500000000021</v>
      </c>
      <c r="O179" s="15">
        <f t="shared" si="34"/>
        <v>8.7804543674108976E-2</v>
      </c>
      <c r="P179" s="16">
        <f t="shared" si="35"/>
        <v>30.264462809917362</v>
      </c>
      <c r="Q179" s="41">
        <f t="shared" si="36"/>
        <v>0.20000000000000026</v>
      </c>
      <c r="T179" s="42"/>
      <c r="U179" s="16">
        <f t="shared" si="37"/>
        <v>36.317355371900831</v>
      </c>
      <c r="V179" s="41">
        <f t="shared" si="38"/>
        <v>0.16666666666666663</v>
      </c>
      <c r="W179" s="17">
        <f t="shared" si="39"/>
        <v>0.30083333333333351</v>
      </c>
      <c r="X179" s="41">
        <f t="shared" si="40"/>
        <v>0.20000000000000026</v>
      </c>
      <c r="Y179" s="43">
        <f t="shared" si="41"/>
        <v>6.0528925619834801</v>
      </c>
      <c r="Z179" s="43">
        <f t="shared" si="42"/>
        <v>30.264462809917362</v>
      </c>
      <c r="AA179" s="44" t="str">
        <f t="shared" si="43"/>
        <v>OK</v>
      </c>
    </row>
    <row r="180" spans="1:27" ht="15" customHeight="1" x14ac:dyDescent="0.25">
      <c r="A180" s="12" t="s">
        <v>92</v>
      </c>
      <c r="B180" s="45" t="s">
        <v>32</v>
      </c>
      <c r="C180" s="12" t="s">
        <v>290</v>
      </c>
      <c r="D180" s="40">
        <v>22.9</v>
      </c>
      <c r="E180" s="13">
        <f t="shared" si="44"/>
        <v>2.6334999999999997</v>
      </c>
      <c r="F180" s="14"/>
      <c r="G180" s="15">
        <v>0.115</v>
      </c>
      <c r="H180" s="40">
        <v>7.95</v>
      </c>
      <c r="I180" s="40">
        <v>0</v>
      </c>
      <c r="J180" s="13">
        <f t="shared" si="30"/>
        <v>12.316500000000001</v>
      </c>
      <c r="K180" s="14"/>
      <c r="L180" s="15">
        <f t="shared" si="31"/>
        <v>0.08</v>
      </c>
      <c r="M180" s="13">
        <f t="shared" si="32"/>
        <v>1.8319999999999999</v>
      </c>
      <c r="N180" s="13">
        <f t="shared" si="33"/>
        <v>10.484500000000001</v>
      </c>
      <c r="O180" s="15">
        <f t="shared" si="34"/>
        <v>0.45783842794759833</v>
      </c>
      <c r="P180" s="16" t="str">
        <f t="shared" si="35"/>
        <v/>
      </c>
      <c r="Q180" s="41" t="str">
        <f t="shared" si="36"/>
        <v/>
      </c>
      <c r="T180" s="42"/>
      <c r="U180" s="16" t="str">
        <f t="shared" si="37"/>
        <v/>
      </c>
      <c r="V180" s="41" t="str">
        <f t="shared" si="38"/>
        <v/>
      </c>
      <c r="W180" s="17" t="str">
        <f t="shared" si="39"/>
        <v/>
      </c>
      <c r="X180" s="41" t="str">
        <f t="shared" si="40"/>
        <v/>
      </c>
      <c r="Y180" s="43" t="str">
        <f t="shared" si="41"/>
        <v/>
      </c>
      <c r="Z180" s="43" t="str">
        <f t="shared" si="42"/>
        <v/>
      </c>
      <c r="AA180" s="44" t="str">
        <f t="shared" si="43"/>
        <v>Sem custo</v>
      </c>
    </row>
    <row r="181" spans="1:27" ht="15" customHeight="1" x14ac:dyDescent="0.25">
      <c r="A181" s="12" t="s">
        <v>291</v>
      </c>
      <c r="B181" s="40">
        <v>7.58</v>
      </c>
      <c r="C181" s="12" t="s">
        <v>292</v>
      </c>
      <c r="D181" s="40">
        <v>29.9</v>
      </c>
      <c r="E181" s="13">
        <f t="shared" si="44"/>
        <v>3.4384999999999999</v>
      </c>
      <c r="F181" s="14"/>
      <c r="G181" s="15">
        <v>0.115</v>
      </c>
      <c r="H181" s="40">
        <v>6.95</v>
      </c>
      <c r="I181" s="40">
        <v>0</v>
      </c>
      <c r="J181" s="13">
        <f t="shared" si="30"/>
        <v>19.511499999999998</v>
      </c>
      <c r="K181" s="13"/>
      <c r="L181" s="15">
        <f t="shared" si="31"/>
        <v>0.08</v>
      </c>
      <c r="M181" s="13">
        <f t="shared" si="32"/>
        <v>2.3919999999999999</v>
      </c>
      <c r="N181" s="13">
        <f t="shared" si="33"/>
        <v>9.5394999999999985</v>
      </c>
      <c r="O181" s="15">
        <f t="shared" si="34"/>
        <v>0.31904682274247487</v>
      </c>
      <c r="P181" s="16">
        <f t="shared" si="35"/>
        <v>24.016528925619838</v>
      </c>
      <c r="Q181" s="41">
        <f t="shared" si="36"/>
        <v>0.20000000000000007</v>
      </c>
      <c r="T181" s="42"/>
      <c r="U181" s="16">
        <f t="shared" si="37"/>
        <v>28.819834710743805</v>
      </c>
      <c r="V181" s="41">
        <f t="shared" si="38"/>
        <v>0.16666666666666663</v>
      </c>
      <c r="W181" s="17">
        <f t="shared" si="39"/>
        <v>0.30083333333333351</v>
      </c>
      <c r="X181" s="41">
        <f t="shared" si="40"/>
        <v>0.20000000000000007</v>
      </c>
      <c r="Y181" s="43">
        <f t="shared" si="41"/>
        <v>4.8033057851239693</v>
      </c>
      <c r="Z181" s="43">
        <f t="shared" si="42"/>
        <v>24.016528925619838</v>
      </c>
      <c r="AA181" s="44" t="str">
        <f t="shared" si="43"/>
        <v>OK</v>
      </c>
    </row>
    <row r="182" spans="1:27" ht="15" customHeight="1" x14ac:dyDescent="0.25">
      <c r="A182" s="12" t="s">
        <v>92</v>
      </c>
      <c r="B182" s="45" t="s">
        <v>32</v>
      </c>
      <c r="C182" s="12" t="s">
        <v>293</v>
      </c>
      <c r="D182" s="40">
        <v>29.9</v>
      </c>
      <c r="E182" s="13">
        <f t="shared" si="44"/>
        <v>3.4384999999999999</v>
      </c>
      <c r="F182" s="14"/>
      <c r="G182" s="15">
        <v>0.115</v>
      </c>
      <c r="H182" s="40">
        <v>8.15</v>
      </c>
      <c r="I182" s="40">
        <v>0</v>
      </c>
      <c r="J182" s="13">
        <f t="shared" si="30"/>
        <v>18.311499999999995</v>
      </c>
      <c r="K182" s="14"/>
      <c r="L182" s="15">
        <f t="shared" si="31"/>
        <v>0.08</v>
      </c>
      <c r="M182" s="13">
        <f t="shared" si="32"/>
        <v>2.3919999999999999</v>
      </c>
      <c r="N182" s="13">
        <f t="shared" si="33"/>
        <v>15.919499999999996</v>
      </c>
      <c r="O182" s="15">
        <f t="shared" si="34"/>
        <v>0.5324247491638795</v>
      </c>
      <c r="P182" s="16" t="str">
        <f t="shared" si="35"/>
        <v/>
      </c>
      <c r="Q182" s="41" t="str">
        <f t="shared" si="36"/>
        <v/>
      </c>
      <c r="T182" s="42"/>
      <c r="U182" s="16" t="str">
        <f t="shared" si="37"/>
        <v/>
      </c>
      <c r="V182" s="41" t="str">
        <f t="shared" si="38"/>
        <v/>
      </c>
      <c r="W182" s="17" t="str">
        <f t="shared" si="39"/>
        <v/>
      </c>
      <c r="X182" s="41" t="str">
        <f t="shared" si="40"/>
        <v/>
      </c>
      <c r="Y182" s="43" t="str">
        <f t="shared" si="41"/>
        <v/>
      </c>
      <c r="Z182" s="43" t="str">
        <f t="shared" si="42"/>
        <v/>
      </c>
      <c r="AA182" s="44" t="str">
        <f t="shared" si="43"/>
        <v>Sem custo</v>
      </c>
    </row>
    <row r="183" spans="1:27" ht="15" customHeight="1" x14ac:dyDescent="0.25">
      <c r="A183" s="12" t="s">
        <v>294</v>
      </c>
      <c r="B183" s="40">
        <v>17.399999999999999</v>
      </c>
      <c r="C183" s="12" t="s">
        <v>295</v>
      </c>
      <c r="D183" s="40">
        <v>51.9</v>
      </c>
      <c r="E183" s="14"/>
      <c r="F183" s="13">
        <f>D183*G183</f>
        <v>8.5634999999999994</v>
      </c>
      <c r="G183" s="15">
        <v>0.16500000000000001</v>
      </c>
      <c r="H183" s="40">
        <v>7.95</v>
      </c>
      <c r="I183" s="40">
        <v>0</v>
      </c>
      <c r="J183" s="13">
        <f t="shared" si="30"/>
        <v>35.386499999999998</v>
      </c>
      <c r="K183" s="13"/>
      <c r="L183" s="15">
        <f t="shared" si="31"/>
        <v>0.08</v>
      </c>
      <c r="M183" s="13">
        <f t="shared" si="32"/>
        <v>4.1520000000000001</v>
      </c>
      <c r="N183" s="13">
        <f t="shared" si="33"/>
        <v>13.834499999999998</v>
      </c>
      <c r="O183" s="15">
        <f t="shared" si="34"/>
        <v>0.2665606936416185</v>
      </c>
      <c r="P183" s="16">
        <f t="shared" si="35"/>
        <v>45.675675675675677</v>
      </c>
      <c r="Q183" s="41">
        <f t="shared" si="36"/>
        <v>0.20000000000000004</v>
      </c>
      <c r="T183" s="42"/>
      <c r="U183" s="16">
        <f t="shared" si="37"/>
        <v>54.810810810810814</v>
      </c>
      <c r="V183" s="41">
        <f t="shared" si="38"/>
        <v>0.16666666666666674</v>
      </c>
      <c r="W183" s="17">
        <f t="shared" si="39"/>
        <v>0.29249999999999993</v>
      </c>
      <c r="X183" s="41">
        <f t="shared" si="40"/>
        <v>0.20000000000000004</v>
      </c>
      <c r="Y183" s="43">
        <f t="shared" si="41"/>
        <v>9.1351351351351369</v>
      </c>
      <c r="Z183" s="43">
        <f t="shared" si="42"/>
        <v>45.675675675675677</v>
      </c>
      <c r="AA183" s="44" t="str">
        <f t="shared" si="43"/>
        <v>OK</v>
      </c>
    </row>
    <row r="184" spans="1:27" ht="15" customHeight="1" x14ac:dyDescent="0.25">
      <c r="A184" s="12" t="s">
        <v>294</v>
      </c>
      <c r="B184" s="40">
        <v>17.399999999999999</v>
      </c>
      <c r="C184" s="12" t="s">
        <v>296</v>
      </c>
      <c r="D184" s="40">
        <v>46.9</v>
      </c>
      <c r="E184" s="13">
        <f t="shared" ref="E184:E189" si="45">D184*G184</f>
        <v>5.3935000000000004</v>
      </c>
      <c r="F184" s="14"/>
      <c r="G184" s="15">
        <v>0.115</v>
      </c>
      <c r="H184" s="40">
        <v>6.75</v>
      </c>
      <c r="I184" s="40">
        <v>0</v>
      </c>
      <c r="J184" s="13">
        <f t="shared" si="30"/>
        <v>34.756499999999996</v>
      </c>
      <c r="K184" s="13"/>
      <c r="L184" s="15">
        <f t="shared" si="31"/>
        <v>0.08</v>
      </c>
      <c r="M184" s="13">
        <f t="shared" si="32"/>
        <v>3.7519999999999998</v>
      </c>
      <c r="N184" s="13">
        <f t="shared" si="33"/>
        <v>13.604499999999998</v>
      </c>
      <c r="O184" s="15">
        <f t="shared" si="34"/>
        <v>0.29007462686567159</v>
      </c>
      <c r="P184" s="16">
        <f t="shared" si="35"/>
        <v>39.917355371900825</v>
      </c>
      <c r="Q184" s="41">
        <f t="shared" si="36"/>
        <v>0.2</v>
      </c>
      <c r="T184" s="42"/>
      <c r="U184" s="16">
        <f t="shared" si="37"/>
        <v>47.900826446280988</v>
      </c>
      <c r="V184" s="41">
        <f t="shared" si="38"/>
        <v>0.16666666666666663</v>
      </c>
      <c r="W184" s="17">
        <f t="shared" si="39"/>
        <v>0.30083333333333329</v>
      </c>
      <c r="X184" s="41">
        <f t="shared" si="40"/>
        <v>0.2</v>
      </c>
      <c r="Y184" s="43">
        <f t="shared" si="41"/>
        <v>7.9834710743801658</v>
      </c>
      <c r="Z184" s="43">
        <f t="shared" si="42"/>
        <v>39.917355371900825</v>
      </c>
      <c r="AA184" s="44" t="str">
        <f t="shared" si="43"/>
        <v>OK</v>
      </c>
    </row>
    <row r="185" spans="1:27" ht="15" customHeight="1" x14ac:dyDescent="0.25">
      <c r="A185" s="12" t="s">
        <v>297</v>
      </c>
      <c r="B185" s="40">
        <v>40.5</v>
      </c>
      <c r="C185" s="12" t="s">
        <v>298</v>
      </c>
      <c r="D185" s="40">
        <v>113</v>
      </c>
      <c r="E185" s="13">
        <f t="shared" si="45"/>
        <v>12.995000000000001</v>
      </c>
      <c r="F185" s="14"/>
      <c r="G185" s="15">
        <v>0.115</v>
      </c>
      <c r="H185" s="40">
        <v>0</v>
      </c>
      <c r="I185" s="40">
        <v>16.149999999999999</v>
      </c>
      <c r="J185" s="13">
        <f t="shared" si="30"/>
        <v>83.85499999999999</v>
      </c>
      <c r="K185" s="13"/>
      <c r="L185" s="15">
        <f t="shared" si="31"/>
        <v>0.08</v>
      </c>
      <c r="M185" s="13">
        <f t="shared" si="32"/>
        <v>9.0400000000000009</v>
      </c>
      <c r="N185" s="13">
        <f t="shared" si="33"/>
        <v>34.314999999999991</v>
      </c>
      <c r="O185" s="15">
        <f t="shared" si="34"/>
        <v>0.30367256637168133</v>
      </c>
      <c r="P185" s="16">
        <f t="shared" si="35"/>
        <v>66.942148760330582</v>
      </c>
      <c r="Q185" s="41">
        <f t="shared" si="36"/>
        <v>0.2</v>
      </c>
      <c r="T185" s="42"/>
      <c r="U185" s="16">
        <f t="shared" si="37"/>
        <v>80.330578512396698</v>
      </c>
      <c r="V185" s="41">
        <f t="shared" si="38"/>
        <v>0.16666666666666663</v>
      </c>
      <c r="W185" s="17">
        <f t="shared" si="39"/>
        <v>9.9789094650205773E-2</v>
      </c>
      <c r="X185" s="41">
        <f t="shared" si="40"/>
        <v>0.2</v>
      </c>
      <c r="Y185" s="43">
        <f t="shared" si="41"/>
        <v>13.388429752066116</v>
      </c>
      <c r="Z185" s="43">
        <f t="shared" si="42"/>
        <v>66.942148760330582</v>
      </c>
      <c r="AA185" s="44" t="str">
        <f t="shared" si="43"/>
        <v>OK</v>
      </c>
    </row>
    <row r="186" spans="1:27" ht="15" customHeight="1" x14ac:dyDescent="0.25">
      <c r="A186" s="12" t="s">
        <v>299</v>
      </c>
      <c r="B186" s="40">
        <v>9.6999999999999993</v>
      </c>
      <c r="C186" s="12" t="s">
        <v>300</v>
      </c>
      <c r="D186" s="40">
        <v>29.9</v>
      </c>
      <c r="E186" s="13">
        <f t="shared" si="45"/>
        <v>3.4384999999999999</v>
      </c>
      <c r="F186" s="14"/>
      <c r="G186" s="15">
        <v>0.115</v>
      </c>
      <c r="H186" s="40">
        <v>6.75</v>
      </c>
      <c r="I186" s="40">
        <v>0</v>
      </c>
      <c r="J186" s="13">
        <f t="shared" si="30"/>
        <v>19.711499999999997</v>
      </c>
      <c r="K186" s="13"/>
      <c r="L186" s="15">
        <f t="shared" si="31"/>
        <v>0.08</v>
      </c>
      <c r="M186" s="13">
        <f t="shared" si="32"/>
        <v>2.3919999999999999</v>
      </c>
      <c r="N186" s="13">
        <f t="shared" si="33"/>
        <v>7.6194999999999986</v>
      </c>
      <c r="O186" s="15">
        <f t="shared" si="34"/>
        <v>0.25483277591973241</v>
      </c>
      <c r="P186" s="16">
        <f t="shared" si="35"/>
        <v>27.190082644628099</v>
      </c>
      <c r="Q186" s="41">
        <f t="shared" si="36"/>
        <v>0.20000000000000004</v>
      </c>
      <c r="T186" s="42"/>
      <c r="U186" s="16">
        <f t="shared" si="37"/>
        <v>32.628099173553714</v>
      </c>
      <c r="V186" s="41">
        <f t="shared" si="38"/>
        <v>0.16666666666666652</v>
      </c>
      <c r="W186" s="17">
        <f t="shared" si="39"/>
        <v>0.30083333333333329</v>
      </c>
      <c r="X186" s="41">
        <f t="shared" si="40"/>
        <v>0.20000000000000004</v>
      </c>
      <c r="Y186" s="43">
        <f t="shared" si="41"/>
        <v>5.4380165289256208</v>
      </c>
      <c r="Z186" s="43">
        <f t="shared" si="42"/>
        <v>27.190082644628099</v>
      </c>
      <c r="AA186" s="44" t="str">
        <f t="shared" si="43"/>
        <v>OK</v>
      </c>
    </row>
    <row r="187" spans="1:27" ht="15" customHeight="1" x14ac:dyDescent="0.25">
      <c r="A187" s="12" t="s">
        <v>301</v>
      </c>
      <c r="B187" s="40">
        <v>16.600000000000001</v>
      </c>
      <c r="C187" s="12" t="s">
        <v>302</v>
      </c>
      <c r="D187" s="40">
        <v>39.9</v>
      </c>
      <c r="E187" s="13">
        <f t="shared" si="45"/>
        <v>4.5884999999999998</v>
      </c>
      <c r="F187" s="14"/>
      <c r="G187" s="15">
        <v>0.115</v>
      </c>
      <c r="H187" s="40">
        <v>6.75</v>
      </c>
      <c r="I187" s="40">
        <v>0</v>
      </c>
      <c r="J187" s="13">
        <f t="shared" si="30"/>
        <v>28.561499999999995</v>
      </c>
      <c r="K187" s="13"/>
      <c r="L187" s="15">
        <f t="shared" si="31"/>
        <v>0.08</v>
      </c>
      <c r="M187" s="13">
        <f t="shared" si="32"/>
        <v>3.1920000000000002</v>
      </c>
      <c r="N187" s="13">
        <f t="shared" si="33"/>
        <v>8.7694999999999936</v>
      </c>
      <c r="O187" s="15">
        <f t="shared" si="34"/>
        <v>0.21978696741854623</v>
      </c>
      <c r="P187" s="16">
        <f t="shared" si="35"/>
        <v>38.595041322314053</v>
      </c>
      <c r="Q187" s="41">
        <f t="shared" si="36"/>
        <v>0.20000000000000012</v>
      </c>
      <c r="T187" s="42"/>
      <c r="U187" s="16">
        <f t="shared" si="37"/>
        <v>46.314049586776861</v>
      </c>
      <c r="V187" s="41">
        <f t="shared" si="38"/>
        <v>0.16666666666666663</v>
      </c>
      <c r="W187" s="17">
        <f t="shared" si="39"/>
        <v>0.30083333333333323</v>
      </c>
      <c r="X187" s="41">
        <f t="shared" si="40"/>
        <v>0.20000000000000012</v>
      </c>
      <c r="Y187" s="43">
        <f t="shared" si="41"/>
        <v>7.7190082644628149</v>
      </c>
      <c r="Z187" s="43">
        <f t="shared" si="42"/>
        <v>38.595041322314053</v>
      </c>
      <c r="AA187" s="44" t="str">
        <f t="shared" si="43"/>
        <v>OK</v>
      </c>
    </row>
    <row r="188" spans="1:27" ht="15" customHeight="1" x14ac:dyDescent="0.25">
      <c r="A188" s="12" t="s">
        <v>303</v>
      </c>
      <c r="B188" s="40">
        <v>3.62</v>
      </c>
      <c r="C188" s="12" t="s">
        <v>304</v>
      </c>
      <c r="D188" s="40">
        <v>19</v>
      </c>
      <c r="E188" s="13">
        <f t="shared" si="45"/>
        <v>2.1850000000000001</v>
      </c>
      <c r="F188" s="14"/>
      <c r="G188" s="15">
        <v>0.115</v>
      </c>
      <c r="H188" s="40">
        <v>7.95</v>
      </c>
      <c r="I188" s="40">
        <v>0</v>
      </c>
      <c r="J188" s="13">
        <f t="shared" si="30"/>
        <v>8.865000000000002</v>
      </c>
      <c r="K188" s="13"/>
      <c r="L188" s="15">
        <f t="shared" si="31"/>
        <v>0.08</v>
      </c>
      <c r="M188" s="13">
        <f t="shared" si="32"/>
        <v>1.52</v>
      </c>
      <c r="N188" s="13">
        <f t="shared" si="33"/>
        <v>3.7250000000000019</v>
      </c>
      <c r="O188" s="15">
        <f t="shared" si="34"/>
        <v>0.19605263157894748</v>
      </c>
      <c r="P188" s="16">
        <f t="shared" si="35"/>
        <v>19.123966942148762</v>
      </c>
      <c r="Q188" s="41">
        <f t="shared" si="36"/>
        <v>0.20000000000000007</v>
      </c>
      <c r="T188" s="42"/>
      <c r="U188" s="16">
        <f t="shared" si="37"/>
        <v>22.948760330578512</v>
      </c>
      <c r="V188" s="41">
        <f t="shared" si="38"/>
        <v>0.16666666666666663</v>
      </c>
      <c r="W188" s="17">
        <f t="shared" si="39"/>
        <v>0.30083333333333345</v>
      </c>
      <c r="X188" s="41">
        <f t="shared" si="40"/>
        <v>0.20000000000000007</v>
      </c>
      <c r="Y188" s="43">
        <f t="shared" si="41"/>
        <v>3.8247933884297538</v>
      </c>
      <c r="Z188" s="43">
        <f t="shared" si="42"/>
        <v>19.123966942148762</v>
      </c>
      <c r="AA188" s="44" t="str">
        <f t="shared" si="43"/>
        <v>OK</v>
      </c>
    </row>
    <row r="189" spans="1:27" ht="15" customHeight="1" x14ac:dyDescent="0.25">
      <c r="A189" s="12" t="s">
        <v>305</v>
      </c>
      <c r="B189" s="40">
        <v>177.2</v>
      </c>
      <c r="C189" s="12" t="s">
        <v>306</v>
      </c>
      <c r="D189" s="40">
        <v>299.89999999999998</v>
      </c>
      <c r="E189" s="13">
        <f t="shared" si="45"/>
        <v>38.987000000000002</v>
      </c>
      <c r="F189" s="14"/>
      <c r="G189" s="15">
        <v>0.13</v>
      </c>
      <c r="H189" s="40">
        <v>0</v>
      </c>
      <c r="I189" s="40">
        <v>24.65</v>
      </c>
      <c r="J189" s="13">
        <f t="shared" si="30"/>
        <v>236.26299999999995</v>
      </c>
      <c r="K189" s="13"/>
      <c r="L189" s="15">
        <f t="shared" si="31"/>
        <v>0.08</v>
      </c>
      <c r="M189" s="13">
        <f t="shared" si="32"/>
        <v>23.991999999999997</v>
      </c>
      <c r="N189" s="13">
        <f t="shared" si="33"/>
        <v>35.070999999999962</v>
      </c>
      <c r="O189" s="15">
        <f t="shared" si="34"/>
        <v>0.11694231410470145</v>
      </c>
      <c r="P189" s="16">
        <f t="shared" si="35"/>
        <v>342.11864406779654</v>
      </c>
      <c r="Q189" s="41">
        <f t="shared" si="36"/>
        <v>0.2</v>
      </c>
      <c r="T189" s="42"/>
      <c r="U189" s="16">
        <f t="shared" si="37"/>
        <v>410.54237288135585</v>
      </c>
      <c r="V189" s="41">
        <f t="shared" si="38"/>
        <v>0.16666666666666663</v>
      </c>
      <c r="W189" s="17">
        <f t="shared" si="39"/>
        <v>0.29833333333333328</v>
      </c>
      <c r="X189" s="41">
        <f t="shared" si="40"/>
        <v>0.2</v>
      </c>
      <c r="Y189" s="43">
        <f t="shared" si="41"/>
        <v>68.423728813559308</v>
      </c>
      <c r="Z189" s="43">
        <f t="shared" si="42"/>
        <v>342.11864406779654</v>
      </c>
      <c r="AA189" s="44" t="str">
        <f t="shared" si="43"/>
        <v>OK</v>
      </c>
    </row>
    <row r="190" spans="1:27" ht="15" customHeight="1" x14ac:dyDescent="0.25">
      <c r="A190" s="12" t="s">
        <v>305</v>
      </c>
      <c r="B190" s="40">
        <v>177.2</v>
      </c>
      <c r="C190" s="12" t="s">
        <v>307</v>
      </c>
      <c r="D190" s="40">
        <v>319.89999999999998</v>
      </c>
      <c r="E190" s="14"/>
      <c r="F190" s="13">
        <f>D190*G190</f>
        <v>57.581999999999994</v>
      </c>
      <c r="G190" s="15">
        <v>0.18</v>
      </c>
      <c r="H190" s="40">
        <v>0</v>
      </c>
      <c r="I190" s="40">
        <v>24.65</v>
      </c>
      <c r="J190" s="13">
        <f t="shared" si="30"/>
        <v>237.66799999999998</v>
      </c>
      <c r="K190" s="13"/>
      <c r="L190" s="15">
        <f t="shared" si="31"/>
        <v>0.08</v>
      </c>
      <c r="M190" s="13">
        <f t="shared" si="32"/>
        <v>25.591999999999999</v>
      </c>
      <c r="N190" s="13">
        <f t="shared" si="33"/>
        <v>34.875999999999991</v>
      </c>
      <c r="O190" s="15">
        <f t="shared" si="34"/>
        <v>0.1090215692403876</v>
      </c>
      <c r="P190" s="16">
        <f t="shared" si="35"/>
        <v>373.79629629629625</v>
      </c>
      <c r="Q190" s="41">
        <f t="shared" si="36"/>
        <v>0.20000000000000004</v>
      </c>
      <c r="T190" s="42"/>
      <c r="U190" s="16">
        <f t="shared" si="37"/>
        <v>448.55555555555549</v>
      </c>
      <c r="V190" s="41">
        <f t="shared" si="38"/>
        <v>0.16666666666666663</v>
      </c>
      <c r="W190" s="17">
        <f t="shared" si="39"/>
        <v>0.29000000000000004</v>
      </c>
      <c r="X190" s="41">
        <f t="shared" si="40"/>
        <v>0.20000000000000004</v>
      </c>
      <c r="Y190" s="43">
        <f t="shared" si="41"/>
        <v>74.759259259259267</v>
      </c>
      <c r="Z190" s="43">
        <f t="shared" si="42"/>
        <v>373.79629629629625</v>
      </c>
      <c r="AA190" s="44" t="str">
        <f t="shared" si="43"/>
        <v>OK</v>
      </c>
    </row>
    <row r="191" spans="1:27" ht="15" customHeight="1" x14ac:dyDescent="0.25">
      <c r="A191" s="12" t="s">
        <v>305</v>
      </c>
      <c r="B191" s="40">
        <v>177.2</v>
      </c>
      <c r="C191" s="12" t="s">
        <v>308</v>
      </c>
      <c r="D191" s="40">
        <v>299.89999999999998</v>
      </c>
      <c r="E191" s="13">
        <f>D191*G191</f>
        <v>38.987000000000002</v>
      </c>
      <c r="F191" s="14"/>
      <c r="G191" s="15">
        <v>0.13</v>
      </c>
      <c r="H191" s="40">
        <v>0</v>
      </c>
      <c r="I191" s="40">
        <v>24.65</v>
      </c>
      <c r="J191" s="13">
        <f t="shared" si="30"/>
        <v>236.26299999999995</v>
      </c>
      <c r="K191" s="13"/>
      <c r="L191" s="15">
        <f t="shared" si="31"/>
        <v>0.08</v>
      </c>
      <c r="M191" s="13">
        <f t="shared" si="32"/>
        <v>23.991999999999997</v>
      </c>
      <c r="N191" s="13">
        <f t="shared" si="33"/>
        <v>35.070999999999962</v>
      </c>
      <c r="O191" s="15">
        <f t="shared" si="34"/>
        <v>0.11694231410470145</v>
      </c>
      <c r="P191" s="16">
        <f t="shared" si="35"/>
        <v>342.11864406779654</v>
      </c>
      <c r="Q191" s="41">
        <f t="shared" si="36"/>
        <v>0.2</v>
      </c>
      <c r="T191" s="42"/>
      <c r="U191" s="16">
        <f t="shared" si="37"/>
        <v>410.54237288135585</v>
      </c>
      <c r="V191" s="41">
        <f t="shared" si="38"/>
        <v>0.16666666666666663</v>
      </c>
      <c r="W191" s="17">
        <f t="shared" si="39"/>
        <v>0.29833333333333328</v>
      </c>
      <c r="X191" s="41">
        <f t="shared" si="40"/>
        <v>0.2</v>
      </c>
      <c r="Y191" s="43">
        <f t="shared" si="41"/>
        <v>68.423728813559308</v>
      </c>
      <c r="Z191" s="43">
        <f t="shared" si="42"/>
        <v>342.11864406779654</v>
      </c>
      <c r="AA191" s="44" t="str">
        <f t="shared" si="43"/>
        <v>OK</v>
      </c>
    </row>
    <row r="192" spans="1:27" ht="15" customHeight="1" x14ac:dyDescent="0.25">
      <c r="A192" s="12" t="s">
        <v>305</v>
      </c>
      <c r="B192" s="40">
        <v>177.2</v>
      </c>
      <c r="C192" s="12" t="s">
        <v>309</v>
      </c>
      <c r="D192" s="40">
        <v>319.89999999999998</v>
      </c>
      <c r="E192" s="14"/>
      <c r="F192" s="13">
        <f>D192*G192</f>
        <v>57.581999999999994</v>
      </c>
      <c r="G192" s="15">
        <v>0.18</v>
      </c>
      <c r="H192" s="40">
        <v>0</v>
      </c>
      <c r="I192" s="40">
        <v>24.65</v>
      </c>
      <c r="J192" s="13">
        <f t="shared" si="30"/>
        <v>237.66799999999998</v>
      </c>
      <c r="K192" s="13"/>
      <c r="L192" s="15">
        <f t="shared" si="31"/>
        <v>0.08</v>
      </c>
      <c r="M192" s="13">
        <f t="shared" si="32"/>
        <v>25.591999999999999</v>
      </c>
      <c r="N192" s="13">
        <f t="shared" si="33"/>
        <v>34.875999999999991</v>
      </c>
      <c r="O192" s="15">
        <f t="shared" si="34"/>
        <v>0.1090215692403876</v>
      </c>
      <c r="P192" s="16">
        <f t="shared" si="35"/>
        <v>373.79629629629625</v>
      </c>
      <c r="Q192" s="41">
        <f t="shared" si="36"/>
        <v>0.20000000000000004</v>
      </c>
      <c r="T192" s="42"/>
      <c r="U192" s="16">
        <f t="shared" si="37"/>
        <v>448.55555555555549</v>
      </c>
      <c r="V192" s="41">
        <f t="shared" si="38"/>
        <v>0.16666666666666663</v>
      </c>
      <c r="W192" s="17">
        <f t="shared" si="39"/>
        <v>0.29000000000000004</v>
      </c>
      <c r="X192" s="41">
        <f t="shared" si="40"/>
        <v>0.20000000000000004</v>
      </c>
      <c r="Y192" s="43">
        <f t="shared" si="41"/>
        <v>74.759259259259267</v>
      </c>
      <c r="Z192" s="43">
        <f t="shared" si="42"/>
        <v>373.79629629629625</v>
      </c>
      <c r="AA192" s="44" t="str">
        <f t="shared" si="43"/>
        <v>OK</v>
      </c>
    </row>
    <row r="193" spans="1:27" ht="15" customHeight="1" x14ac:dyDescent="0.25">
      <c r="A193" s="12" t="s">
        <v>310</v>
      </c>
      <c r="B193" s="40">
        <v>34.26</v>
      </c>
      <c r="C193" s="12" t="s">
        <v>311</v>
      </c>
      <c r="D193" s="40">
        <v>79.900000000000006</v>
      </c>
      <c r="E193" s="13">
        <f t="shared" ref="E193:E219" si="46">D193*G193</f>
        <v>11.186000000000002</v>
      </c>
      <c r="F193" s="14"/>
      <c r="G193" s="15">
        <v>0.14000000000000001</v>
      </c>
      <c r="H193" s="40">
        <v>0</v>
      </c>
      <c r="I193" s="40">
        <v>14.15</v>
      </c>
      <c r="J193" s="13">
        <f t="shared" si="30"/>
        <v>54.564</v>
      </c>
      <c r="K193" s="13"/>
      <c r="L193" s="15">
        <f t="shared" si="31"/>
        <v>0.08</v>
      </c>
      <c r="M193" s="13">
        <f t="shared" si="32"/>
        <v>6.3920000000000003</v>
      </c>
      <c r="N193" s="13">
        <f t="shared" si="33"/>
        <v>13.912000000000003</v>
      </c>
      <c r="O193" s="15">
        <f t="shared" si="34"/>
        <v>0.17411764705882354</v>
      </c>
      <c r="P193" s="16">
        <f t="shared" si="35"/>
        <v>59.068965517241367</v>
      </c>
      <c r="Q193" s="41">
        <f t="shared" si="36"/>
        <v>0.19999999999999993</v>
      </c>
      <c r="T193" s="42"/>
      <c r="U193" s="16">
        <f t="shared" si="37"/>
        <v>70.882758620689643</v>
      </c>
      <c r="V193" s="41">
        <f t="shared" si="38"/>
        <v>0.16666666666666674</v>
      </c>
      <c r="W193" s="17">
        <f t="shared" si="39"/>
        <v>0.29666666666666658</v>
      </c>
      <c r="X193" s="41">
        <f t="shared" si="40"/>
        <v>0.19999999999999993</v>
      </c>
      <c r="Y193" s="43">
        <f t="shared" si="41"/>
        <v>11.813793103448269</v>
      </c>
      <c r="Z193" s="43">
        <f t="shared" si="42"/>
        <v>59.068965517241367</v>
      </c>
      <c r="AA193" s="44" t="str">
        <f t="shared" si="43"/>
        <v>OK</v>
      </c>
    </row>
    <row r="194" spans="1:27" ht="15" customHeight="1" x14ac:dyDescent="0.25">
      <c r="A194" s="12" t="s">
        <v>312</v>
      </c>
      <c r="B194" s="40">
        <v>45.58</v>
      </c>
      <c r="C194" s="12" t="s">
        <v>313</v>
      </c>
      <c r="D194" s="40">
        <v>115.9</v>
      </c>
      <c r="E194" s="13">
        <f t="shared" si="46"/>
        <v>16.226000000000003</v>
      </c>
      <c r="F194" s="14"/>
      <c r="G194" s="15">
        <v>0.14000000000000001</v>
      </c>
      <c r="H194" s="40">
        <v>0</v>
      </c>
      <c r="I194" s="40">
        <v>16.850000000000001</v>
      </c>
      <c r="J194" s="13">
        <f t="shared" si="30"/>
        <v>82.824000000000012</v>
      </c>
      <c r="K194" s="13"/>
      <c r="L194" s="15">
        <f t="shared" si="31"/>
        <v>0.08</v>
      </c>
      <c r="M194" s="13">
        <f t="shared" si="32"/>
        <v>9.2720000000000002</v>
      </c>
      <c r="N194" s="13">
        <f t="shared" si="33"/>
        <v>27.972000000000016</v>
      </c>
      <c r="O194" s="15">
        <f t="shared" si="34"/>
        <v>0.24134598792062134</v>
      </c>
      <c r="P194" s="16">
        <f t="shared" si="35"/>
        <v>78.586206896551715</v>
      </c>
      <c r="Q194" s="41">
        <f t="shared" si="36"/>
        <v>0.19999999999999993</v>
      </c>
      <c r="T194" s="42"/>
      <c r="U194" s="16">
        <f t="shared" si="37"/>
        <v>94.303448275862053</v>
      </c>
      <c r="V194" s="41">
        <f t="shared" si="38"/>
        <v>0.16666666666666663</v>
      </c>
      <c r="W194" s="17">
        <f t="shared" si="39"/>
        <v>0.11798815269855178</v>
      </c>
      <c r="X194" s="41">
        <f t="shared" si="40"/>
        <v>0.19999999999999993</v>
      </c>
      <c r="Y194" s="43">
        <f t="shared" si="41"/>
        <v>15.717241379310337</v>
      </c>
      <c r="Z194" s="43">
        <f t="shared" si="42"/>
        <v>78.586206896551715</v>
      </c>
      <c r="AA194" s="44" t="str">
        <f t="shared" si="43"/>
        <v>OK</v>
      </c>
    </row>
    <row r="195" spans="1:27" ht="15" customHeight="1" x14ac:dyDescent="0.25">
      <c r="A195" s="12" t="s">
        <v>314</v>
      </c>
      <c r="B195" s="40">
        <v>22.94</v>
      </c>
      <c r="C195" s="12" t="s">
        <v>315</v>
      </c>
      <c r="D195" s="40">
        <v>49.9</v>
      </c>
      <c r="E195" s="13">
        <f t="shared" si="46"/>
        <v>6.9860000000000007</v>
      </c>
      <c r="F195" s="14"/>
      <c r="G195" s="15">
        <v>0.14000000000000001</v>
      </c>
      <c r="H195" s="40">
        <v>7.95</v>
      </c>
      <c r="I195" s="40">
        <v>0</v>
      </c>
      <c r="J195" s="13">
        <f t="shared" ref="J195:J258" si="47">D195-IFERROR(E195,0)-IFERROR(F195,0)-IF(D195&lt;79,H195,0)-IF(D195&gt;=79,I195,0)</f>
        <v>34.963999999999999</v>
      </c>
      <c r="K195" s="13"/>
      <c r="L195" s="15">
        <f t="shared" ref="L195:L258" si="48">$K$2</f>
        <v>0.08</v>
      </c>
      <c r="M195" s="13">
        <f t="shared" ref="M195:M258" si="49">D195*$K$2</f>
        <v>3.992</v>
      </c>
      <c r="N195" s="13">
        <f t="shared" ref="N195:N258" si="50">J195-IF(ISNUMBER(B195),B195,0)-M195</f>
        <v>8.0319999999999965</v>
      </c>
      <c r="O195" s="15">
        <f t="shared" ref="O195:O258" si="51">IFERROR(N195/D195,0)</f>
        <v>0.16096192384769534</v>
      </c>
      <c r="P195" s="16">
        <f t="shared" ref="P195:P258" si="52">IF(NOT(ISNUMBER(B195)),"",IF((1-G195-$K$2-$Q$2)&lt;=0,"erro",IF((B195+H195)/(1-G195-$K$2-$Q$2)&lt;79,(B195+H195)/(1-G195-$K$2-$Q$2),IF((78.99-78.99*G195-H195-78.99*$K$2-B195)/78.99&gt;=$R$2,78.99,IF((B195+I195)/(1-G195-$K$2-$Q$2)&gt;=79,(B195+I195)/(1-G195-$K$2-$Q$2),MAX(79,(B195+I195)/(1-G195-$K$2-$R$2)))))))</f>
        <v>53.258620689655167</v>
      </c>
      <c r="Q195" s="41">
        <f t="shared" ref="Q195:Q258" si="53">IF(NOT(ISNUMBER(P195)),"",(P195-P195*G195-IF(P195&lt;79,H195,I195)-P195*$K$2-B195)/P195)</f>
        <v>0.19999999999999979</v>
      </c>
      <c r="T195" s="42"/>
      <c r="U195" s="16">
        <f t="shared" ref="U195:U258" si="54">IF(NOT(ISNUMBER(P195)),"",P195*(1+$T$2))</f>
        <v>63.910344827586201</v>
      </c>
      <c r="V195" s="41">
        <f t="shared" ref="V195:V258" si="55">IF(NOT(ISNUMBER(U195)),"",1-P195/U195)</f>
        <v>0.16666666666666663</v>
      </c>
      <c r="W195" s="17">
        <f t="shared" ref="W195:W258" si="56">IF(NOT(ISNUMBER(U195)),"",(U195-U195*G195-IF(U195&lt;79,H195,I195)-U195*$K$2-B195)/U195)</f>
        <v>0.29666666666666647</v>
      </c>
      <c r="X195" s="41">
        <f t="shared" ref="X195:X258" si="57">IF(NOT(ISNUMBER(P195)),"",(P195-P195*G195-IF(P195&lt;79,H195,I195)-P195*$K$2-B195)/P195)</f>
        <v>0.19999999999999979</v>
      </c>
      <c r="Y195" s="43">
        <f t="shared" ref="Y195:Y258" si="58">IF(NOT(ISNUMBER(P195)),"",P195-P195*G195-IF(P195&lt;79,H195,I195)-P195*$K$2-B195)</f>
        <v>10.651724137931023</v>
      </c>
      <c r="Z195" s="43">
        <f t="shared" ref="Z195:Z258" si="59">IF(NOT(ISNUMBER(P195)),"",P195)</f>
        <v>53.258620689655167</v>
      </c>
      <c r="AA195" s="44" t="str">
        <f t="shared" ref="AA195:AA258" si="60">IF(NOT(ISNUMBER(B195)),"Sem custo",IF(NOT(ISNUMBER(P195)),"",IF(AND(P195&gt;=79,I195=0),"⚠ Subiu p/ frete (I=0)",IF(ABS(P195-78.99)&lt;0.01,"Forçado &lt;79 (evita frete)",IF(AND(P195&gt;=79,Q195&lt;$Q$2-0.001),"Subiu p/ frete (min R2)",IF(Q195&lt;$R$2-0.001,"⚠ Margem abaixo do mínimo","OK"))))))</f>
        <v>OK</v>
      </c>
    </row>
    <row r="196" spans="1:27" ht="15" customHeight="1" x14ac:dyDescent="0.25">
      <c r="A196" s="12" t="s">
        <v>316</v>
      </c>
      <c r="B196" s="40">
        <v>11.62</v>
      </c>
      <c r="C196" s="12" t="s">
        <v>317</v>
      </c>
      <c r="D196" s="40">
        <v>29.9</v>
      </c>
      <c r="E196" s="13">
        <f t="shared" si="46"/>
        <v>4.1859999999999999</v>
      </c>
      <c r="F196" s="14"/>
      <c r="G196" s="15">
        <v>0.14000000000000001</v>
      </c>
      <c r="H196" s="40">
        <v>6.75</v>
      </c>
      <c r="I196" s="40">
        <v>0</v>
      </c>
      <c r="J196" s="13">
        <f t="shared" si="47"/>
        <v>18.963999999999999</v>
      </c>
      <c r="K196" s="13"/>
      <c r="L196" s="15">
        <f t="shared" si="48"/>
        <v>0.08</v>
      </c>
      <c r="M196" s="13">
        <f t="shared" si="49"/>
        <v>2.3919999999999999</v>
      </c>
      <c r="N196" s="13">
        <f t="shared" si="50"/>
        <v>4.952</v>
      </c>
      <c r="O196" s="15">
        <f t="shared" si="51"/>
        <v>0.16561872909698996</v>
      </c>
      <c r="P196" s="16">
        <f t="shared" si="52"/>
        <v>31.672413793103441</v>
      </c>
      <c r="Q196" s="41">
        <f t="shared" si="53"/>
        <v>0.19999999999999993</v>
      </c>
      <c r="T196" s="42"/>
      <c r="U196" s="16">
        <f t="shared" si="54"/>
        <v>38.006896551724125</v>
      </c>
      <c r="V196" s="41">
        <f t="shared" si="55"/>
        <v>0.16666666666666652</v>
      </c>
      <c r="W196" s="17">
        <f t="shared" si="56"/>
        <v>0.29666666666666652</v>
      </c>
      <c r="X196" s="41">
        <f t="shared" si="57"/>
        <v>0.19999999999999993</v>
      </c>
      <c r="Y196" s="43">
        <f t="shared" si="58"/>
        <v>6.3344827586206858</v>
      </c>
      <c r="Z196" s="43">
        <f t="shared" si="59"/>
        <v>31.672413793103441</v>
      </c>
      <c r="AA196" s="44" t="str">
        <f t="shared" si="60"/>
        <v>OK</v>
      </c>
    </row>
    <row r="197" spans="1:27" ht="15" customHeight="1" x14ac:dyDescent="0.25">
      <c r="A197" s="12" t="s">
        <v>92</v>
      </c>
      <c r="B197" s="45" t="s">
        <v>32</v>
      </c>
      <c r="C197" s="12" t="s">
        <v>318</v>
      </c>
      <c r="D197" s="40">
        <v>39.9</v>
      </c>
      <c r="E197" s="13">
        <f t="shared" si="46"/>
        <v>4.5884999999999998</v>
      </c>
      <c r="F197" s="14"/>
      <c r="G197" s="15">
        <v>0.115</v>
      </c>
      <c r="H197" s="40">
        <v>7.95</v>
      </c>
      <c r="I197" s="40">
        <v>0</v>
      </c>
      <c r="J197" s="13">
        <f t="shared" si="47"/>
        <v>27.361499999999996</v>
      </c>
      <c r="K197" s="14"/>
      <c r="L197" s="15">
        <f t="shared" si="48"/>
        <v>0.08</v>
      </c>
      <c r="M197" s="13">
        <f t="shared" si="49"/>
        <v>3.1920000000000002</v>
      </c>
      <c r="N197" s="13">
        <f t="shared" si="50"/>
        <v>24.169499999999996</v>
      </c>
      <c r="O197" s="15">
        <f t="shared" si="51"/>
        <v>0.60575187969924804</v>
      </c>
      <c r="P197" s="16" t="str">
        <f t="shared" si="52"/>
        <v/>
      </c>
      <c r="Q197" s="41" t="str">
        <f t="shared" si="53"/>
        <v/>
      </c>
      <c r="T197" s="42"/>
      <c r="U197" s="16" t="str">
        <f t="shared" si="54"/>
        <v/>
      </c>
      <c r="V197" s="41" t="str">
        <f t="shared" si="55"/>
        <v/>
      </c>
      <c r="W197" s="17" t="str">
        <f t="shared" si="56"/>
        <v/>
      </c>
      <c r="X197" s="41" t="str">
        <f t="shared" si="57"/>
        <v/>
      </c>
      <c r="Y197" s="43" t="str">
        <f t="shared" si="58"/>
        <v/>
      </c>
      <c r="Z197" s="43" t="str">
        <f t="shared" si="59"/>
        <v/>
      </c>
      <c r="AA197" s="44" t="str">
        <f t="shared" si="60"/>
        <v>Sem custo</v>
      </c>
    </row>
    <row r="198" spans="1:27" ht="15" customHeight="1" x14ac:dyDescent="0.25">
      <c r="A198" s="12" t="s">
        <v>319</v>
      </c>
      <c r="B198" s="40">
        <v>5.0599999999999996</v>
      </c>
      <c r="C198" s="12" t="s">
        <v>320</v>
      </c>
      <c r="D198" s="40">
        <v>18.899999999999999</v>
      </c>
      <c r="E198" s="13">
        <f t="shared" si="46"/>
        <v>2.4569999999999999</v>
      </c>
      <c r="F198" s="14"/>
      <c r="G198" s="15">
        <v>0.13</v>
      </c>
      <c r="H198" s="40">
        <v>8.5500000000000007</v>
      </c>
      <c r="I198" s="40">
        <v>0</v>
      </c>
      <c r="J198" s="13">
        <f t="shared" si="47"/>
        <v>7.8929999999999971</v>
      </c>
      <c r="K198" s="13"/>
      <c r="L198" s="15">
        <f t="shared" si="48"/>
        <v>0.08</v>
      </c>
      <c r="M198" s="13">
        <f t="shared" si="49"/>
        <v>1.512</v>
      </c>
      <c r="N198" s="13">
        <f t="shared" si="50"/>
        <v>1.3209999999999975</v>
      </c>
      <c r="O198" s="15">
        <f t="shared" si="51"/>
        <v>6.9894179894179773E-2</v>
      </c>
      <c r="P198" s="16">
        <f t="shared" si="52"/>
        <v>23.067796610169488</v>
      </c>
      <c r="Q198" s="41">
        <f t="shared" si="53"/>
        <v>0.19999999999999984</v>
      </c>
      <c r="T198" s="42"/>
      <c r="U198" s="16">
        <f t="shared" si="54"/>
        <v>27.681355932203385</v>
      </c>
      <c r="V198" s="41">
        <f t="shared" si="55"/>
        <v>0.16666666666666663</v>
      </c>
      <c r="W198" s="17">
        <f t="shared" si="56"/>
        <v>0.29833333333333323</v>
      </c>
      <c r="X198" s="41">
        <f t="shared" si="57"/>
        <v>0.19999999999999984</v>
      </c>
      <c r="Y198" s="43">
        <f t="shared" si="58"/>
        <v>4.6135593220338942</v>
      </c>
      <c r="Z198" s="43">
        <f t="shared" si="59"/>
        <v>23.067796610169488</v>
      </c>
      <c r="AA198" s="44" t="str">
        <f t="shared" si="60"/>
        <v>OK</v>
      </c>
    </row>
    <row r="199" spans="1:27" ht="15" customHeight="1" x14ac:dyDescent="0.25">
      <c r="A199" s="12" t="s">
        <v>321</v>
      </c>
      <c r="B199" s="40">
        <v>2.73</v>
      </c>
      <c r="C199" s="12" t="s">
        <v>322</v>
      </c>
      <c r="D199" s="40">
        <v>14.9</v>
      </c>
      <c r="E199" s="13">
        <f t="shared" si="46"/>
        <v>1.9370000000000001</v>
      </c>
      <c r="F199" s="14"/>
      <c r="G199" s="15">
        <v>0.13</v>
      </c>
      <c r="H199" s="40">
        <v>8.5500000000000007</v>
      </c>
      <c r="I199" s="40">
        <v>0</v>
      </c>
      <c r="J199" s="13">
        <f t="shared" si="47"/>
        <v>4.4130000000000003</v>
      </c>
      <c r="K199" s="13"/>
      <c r="L199" s="15">
        <f t="shared" si="48"/>
        <v>0.08</v>
      </c>
      <c r="M199" s="13">
        <f t="shared" si="49"/>
        <v>1.1919999999999999</v>
      </c>
      <c r="N199" s="13">
        <f t="shared" si="50"/>
        <v>0.49100000000000033</v>
      </c>
      <c r="O199" s="15">
        <f t="shared" si="51"/>
        <v>3.2953020134228211E-2</v>
      </c>
      <c r="P199" s="16">
        <f t="shared" si="52"/>
        <v>19.118644067796609</v>
      </c>
      <c r="Q199" s="41">
        <f t="shared" si="53"/>
        <v>0.19999999999999998</v>
      </c>
      <c r="T199" s="42"/>
      <c r="U199" s="16">
        <f t="shared" si="54"/>
        <v>22.942372881355929</v>
      </c>
      <c r="V199" s="41">
        <f t="shared" si="55"/>
        <v>0.16666666666666663</v>
      </c>
      <c r="W199" s="17">
        <f t="shared" si="56"/>
        <v>0.29833333333333323</v>
      </c>
      <c r="X199" s="41">
        <f t="shared" si="57"/>
        <v>0.19999999999999998</v>
      </c>
      <c r="Y199" s="43">
        <f t="shared" si="58"/>
        <v>3.8237288135593217</v>
      </c>
      <c r="Z199" s="43">
        <f t="shared" si="59"/>
        <v>19.118644067796609</v>
      </c>
      <c r="AA199" s="44" t="str">
        <f t="shared" si="60"/>
        <v>OK</v>
      </c>
    </row>
    <row r="200" spans="1:27" ht="15" customHeight="1" x14ac:dyDescent="0.25">
      <c r="A200" s="12" t="s">
        <v>92</v>
      </c>
      <c r="B200" s="45" t="s">
        <v>32</v>
      </c>
      <c r="C200" s="12" t="s">
        <v>323</v>
      </c>
      <c r="D200" s="40">
        <v>29.9</v>
      </c>
      <c r="E200" s="13">
        <f t="shared" si="46"/>
        <v>3.4384999999999999</v>
      </c>
      <c r="F200" s="14"/>
      <c r="G200" s="15">
        <v>0.115</v>
      </c>
      <c r="H200" s="40">
        <v>6.85</v>
      </c>
      <c r="I200" s="40">
        <v>0</v>
      </c>
      <c r="J200" s="13">
        <f t="shared" si="47"/>
        <v>19.611499999999999</v>
      </c>
      <c r="K200" s="14"/>
      <c r="L200" s="15">
        <f t="shared" si="48"/>
        <v>0.08</v>
      </c>
      <c r="M200" s="13">
        <f t="shared" si="49"/>
        <v>2.3919999999999999</v>
      </c>
      <c r="N200" s="13">
        <f t="shared" si="50"/>
        <v>17.2195</v>
      </c>
      <c r="O200" s="15">
        <f t="shared" si="51"/>
        <v>0.5759030100334448</v>
      </c>
      <c r="P200" s="16" t="str">
        <f t="shared" si="52"/>
        <v/>
      </c>
      <c r="Q200" s="41" t="str">
        <f t="shared" si="53"/>
        <v/>
      </c>
      <c r="T200" s="42"/>
      <c r="U200" s="16" t="str">
        <f t="shared" si="54"/>
        <v/>
      </c>
      <c r="V200" s="41" t="str">
        <f t="shared" si="55"/>
        <v/>
      </c>
      <c r="W200" s="17" t="str">
        <f t="shared" si="56"/>
        <v/>
      </c>
      <c r="X200" s="41" t="str">
        <f t="shared" si="57"/>
        <v/>
      </c>
      <c r="Y200" s="43" t="str">
        <f t="shared" si="58"/>
        <v/>
      </c>
      <c r="Z200" s="43" t="str">
        <f t="shared" si="59"/>
        <v/>
      </c>
      <c r="AA200" s="44" t="str">
        <f t="shared" si="60"/>
        <v>Sem custo</v>
      </c>
    </row>
    <row r="201" spans="1:27" ht="15" customHeight="1" x14ac:dyDescent="0.25">
      <c r="A201" s="12" t="s">
        <v>92</v>
      </c>
      <c r="B201" s="45" t="s">
        <v>32</v>
      </c>
      <c r="C201" s="12" t="s">
        <v>324</v>
      </c>
      <c r="D201" s="40">
        <v>19.899999999999999</v>
      </c>
      <c r="E201" s="13">
        <f t="shared" si="46"/>
        <v>2.2885</v>
      </c>
      <c r="F201" s="14"/>
      <c r="G201" s="15">
        <v>0.115</v>
      </c>
      <c r="H201" s="40">
        <v>6.85</v>
      </c>
      <c r="I201" s="40">
        <v>0</v>
      </c>
      <c r="J201" s="13">
        <f t="shared" si="47"/>
        <v>10.7615</v>
      </c>
      <c r="K201" s="14"/>
      <c r="L201" s="15">
        <f t="shared" si="48"/>
        <v>0.08</v>
      </c>
      <c r="M201" s="13">
        <f t="shared" si="49"/>
        <v>1.5919999999999999</v>
      </c>
      <c r="N201" s="13">
        <f t="shared" si="50"/>
        <v>9.1694999999999993</v>
      </c>
      <c r="O201" s="15">
        <f t="shared" si="51"/>
        <v>0.46077889447236181</v>
      </c>
      <c r="P201" s="16" t="str">
        <f t="shared" si="52"/>
        <v/>
      </c>
      <c r="Q201" s="41" t="str">
        <f t="shared" si="53"/>
        <v/>
      </c>
      <c r="T201" s="42"/>
      <c r="U201" s="16" t="str">
        <f t="shared" si="54"/>
        <v/>
      </c>
      <c r="V201" s="41" t="str">
        <f t="shared" si="55"/>
        <v/>
      </c>
      <c r="W201" s="17" t="str">
        <f t="shared" si="56"/>
        <v/>
      </c>
      <c r="X201" s="41" t="str">
        <f t="shared" si="57"/>
        <v/>
      </c>
      <c r="Y201" s="43" t="str">
        <f t="shared" si="58"/>
        <v/>
      </c>
      <c r="Z201" s="43" t="str">
        <f t="shared" si="59"/>
        <v/>
      </c>
      <c r="AA201" s="44" t="str">
        <f t="shared" si="60"/>
        <v>Sem custo</v>
      </c>
    </row>
    <row r="202" spans="1:27" ht="15" customHeight="1" x14ac:dyDescent="0.25">
      <c r="A202" s="12" t="s">
        <v>325</v>
      </c>
      <c r="B202" s="40">
        <v>7.39</v>
      </c>
      <c r="C202" s="12" t="s">
        <v>326</v>
      </c>
      <c r="D202" s="40">
        <v>22.9</v>
      </c>
      <c r="E202" s="13">
        <f t="shared" si="46"/>
        <v>2.9769999999999999</v>
      </c>
      <c r="F202" s="14"/>
      <c r="G202" s="15">
        <v>0.13</v>
      </c>
      <c r="H202" s="40">
        <v>6.95</v>
      </c>
      <c r="I202" s="40">
        <v>0</v>
      </c>
      <c r="J202" s="13">
        <f t="shared" si="47"/>
        <v>12.972999999999999</v>
      </c>
      <c r="K202" s="13"/>
      <c r="L202" s="15">
        <f t="shared" si="48"/>
        <v>0.08</v>
      </c>
      <c r="M202" s="13">
        <f t="shared" si="49"/>
        <v>1.8319999999999999</v>
      </c>
      <c r="N202" s="13">
        <f t="shared" si="50"/>
        <v>3.7509999999999994</v>
      </c>
      <c r="O202" s="15">
        <f t="shared" si="51"/>
        <v>0.16379912663755458</v>
      </c>
      <c r="P202" s="16">
        <f t="shared" si="52"/>
        <v>24.305084745762709</v>
      </c>
      <c r="Q202" s="41">
        <f t="shared" si="53"/>
        <v>0.19999999999999998</v>
      </c>
      <c r="T202" s="42"/>
      <c r="U202" s="16">
        <f t="shared" si="54"/>
        <v>29.166101694915248</v>
      </c>
      <c r="V202" s="41">
        <f t="shared" si="55"/>
        <v>0.16666666666666663</v>
      </c>
      <c r="W202" s="17">
        <f t="shared" si="56"/>
        <v>0.29833333333333334</v>
      </c>
      <c r="X202" s="41">
        <f t="shared" si="57"/>
        <v>0.19999999999999998</v>
      </c>
      <c r="Y202" s="43">
        <f t="shared" si="58"/>
        <v>4.8610169491525417</v>
      </c>
      <c r="Z202" s="43">
        <f t="shared" si="59"/>
        <v>24.305084745762709</v>
      </c>
      <c r="AA202" s="44" t="str">
        <f t="shared" si="60"/>
        <v>OK</v>
      </c>
    </row>
    <row r="203" spans="1:27" ht="15" customHeight="1" x14ac:dyDescent="0.25">
      <c r="A203" s="12" t="s">
        <v>327</v>
      </c>
      <c r="B203" s="40">
        <v>9.7200000000000006</v>
      </c>
      <c r="C203" s="12" t="s">
        <v>328</v>
      </c>
      <c r="D203" s="40">
        <v>26.9</v>
      </c>
      <c r="E203" s="13">
        <f t="shared" si="46"/>
        <v>3.4969999999999999</v>
      </c>
      <c r="F203" s="14"/>
      <c r="G203" s="15">
        <v>0.13</v>
      </c>
      <c r="H203" s="40">
        <v>6.65</v>
      </c>
      <c r="I203" s="40">
        <v>0</v>
      </c>
      <c r="J203" s="13">
        <f t="shared" si="47"/>
        <v>16.753</v>
      </c>
      <c r="K203" s="13"/>
      <c r="L203" s="15">
        <f t="shared" si="48"/>
        <v>0.08</v>
      </c>
      <c r="M203" s="13">
        <f t="shared" si="49"/>
        <v>2.1520000000000001</v>
      </c>
      <c r="N203" s="13">
        <f t="shared" si="50"/>
        <v>4.8809999999999993</v>
      </c>
      <c r="O203" s="15">
        <f t="shared" si="51"/>
        <v>0.18144981412639405</v>
      </c>
      <c r="P203" s="16">
        <f t="shared" si="52"/>
        <v>27.745762711864405</v>
      </c>
      <c r="Q203" s="41">
        <f t="shared" si="53"/>
        <v>0.1999999999999999</v>
      </c>
      <c r="T203" s="42"/>
      <c r="U203" s="16">
        <f t="shared" si="54"/>
        <v>33.294915254237281</v>
      </c>
      <c r="V203" s="41">
        <f t="shared" si="55"/>
        <v>0.16666666666666652</v>
      </c>
      <c r="W203" s="17">
        <f t="shared" si="56"/>
        <v>0.29833333333333323</v>
      </c>
      <c r="X203" s="41">
        <f t="shared" si="57"/>
        <v>0.1999999999999999</v>
      </c>
      <c r="Y203" s="43">
        <f t="shared" si="58"/>
        <v>5.5491525423728785</v>
      </c>
      <c r="Z203" s="43">
        <f t="shared" si="59"/>
        <v>27.745762711864405</v>
      </c>
      <c r="AA203" s="44" t="str">
        <f t="shared" si="60"/>
        <v>OK</v>
      </c>
    </row>
    <row r="204" spans="1:27" ht="15" customHeight="1" x14ac:dyDescent="0.25">
      <c r="A204" s="12" t="s">
        <v>329</v>
      </c>
      <c r="B204" s="40">
        <v>12.05</v>
      </c>
      <c r="C204" s="12" t="s">
        <v>330</v>
      </c>
      <c r="D204" s="40">
        <v>31.9</v>
      </c>
      <c r="E204" s="13">
        <f t="shared" si="46"/>
        <v>4.1470000000000002</v>
      </c>
      <c r="F204" s="14"/>
      <c r="G204" s="15">
        <v>0.13</v>
      </c>
      <c r="H204" s="40">
        <v>6.95</v>
      </c>
      <c r="I204" s="40">
        <v>0</v>
      </c>
      <c r="J204" s="13">
        <f t="shared" si="47"/>
        <v>20.803000000000001</v>
      </c>
      <c r="K204" s="13"/>
      <c r="L204" s="15">
        <f t="shared" si="48"/>
        <v>0.08</v>
      </c>
      <c r="M204" s="13">
        <f t="shared" si="49"/>
        <v>2.552</v>
      </c>
      <c r="N204" s="13">
        <f t="shared" si="50"/>
        <v>6.2010000000000005</v>
      </c>
      <c r="O204" s="15">
        <f t="shared" si="51"/>
        <v>0.19438871473354236</v>
      </c>
      <c r="P204" s="16">
        <f t="shared" si="52"/>
        <v>32.20338983050847</v>
      </c>
      <c r="Q204" s="41">
        <f t="shared" si="53"/>
        <v>0.19999999999999993</v>
      </c>
      <c r="T204" s="42"/>
      <c r="U204" s="16">
        <f t="shared" si="54"/>
        <v>38.644067796610166</v>
      </c>
      <c r="V204" s="41">
        <f t="shared" si="55"/>
        <v>0.16666666666666674</v>
      </c>
      <c r="W204" s="17">
        <f t="shared" si="56"/>
        <v>0.29833333333333323</v>
      </c>
      <c r="X204" s="41">
        <f t="shared" si="57"/>
        <v>0.19999999999999993</v>
      </c>
      <c r="Y204" s="43">
        <f t="shared" si="58"/>
        <v>6.440677966101692</v>
      </c>
      <c r="Z204" s="43">
        <f t="shared" si="59"/>
        <v>32.20338983050847</v>
      </c>
      <c r="AA204" s="44" t="str">
        <f t="shared" si="60"/>
        <v>OK</v>
      </c>
    </row>
    <row r="205" spans="1:27" ht="15" customHeight="1" x14ac:dyDescent="0.25">
      <c r="A205" s="12" t="s">
        <v>331</v>
      </c>
      <c r="B205" s="40">
        <v>23.7</v>
      </c>
      <c r="C205" s="12" t="s">
        <v>332</v>
      </c>
      <c r="D205" s="40">
        <v>49.9</v>
      </c>
      <c r="E205" s="13">
        <f t="shared" si="46"/>
        <v>6.4870000000000001</v>
      </c>
      <c r="F205" s="14"/>
      <c r="G205" s="15">
        <v>0.13</v>
      </c>
      <c r="H205" s="40">
        <v>7.85</v>
      </c>
      <c r="I205" s="40">
        <v>0</v>
      </c>
      <c r="J205" s="13">
        <f t="shared" si="47"/>
        <v>35.562999999999995</v>
      </c>
      <c r="K205" s="13"/>
      <c r="L205" s="15">
        <f t="shared" si="48"/>
        <v>0.08</v>
      </c>
      <c r="M205" s="13">
        <f t="shared" si="49"/>
        <v>3.992</v>
      </c>
      <c r="N205" s="13">
        <f t="shared" si="50"/>
        <v>7.870999999999996</v>
      </c>
      <c r="O205" s="15">
        <f t="shared" si="51"/>
        <v>0.1577354709418837</v>
      </c>
      <c r="P205" s="16">
        <f t="shared" si="52"/>
        <v>53.474576271186429</v>
      </c>
      <c r="Q205" s="41">
        <f t="shared" si="53"/>
        <v>0.19999999999999982</v>
      </c>
      <c r="T205" s="42"/>
      <c r="U205" s="16">
        <f t="shared" si="54"/>
        <v>64.169491525423709</v>
      </c>
      <c r="V205" s="41">
        <f t="shared" si="55"/>
        <v>0.16666666666666663</v>
      </c>
      <c r="W205" s="17">
        <f t="shared" si="56"/>
        <v>0.29833333333333317</v>
      </c>
      <c r="X205" s="41">
        <f t="shared" si="57"/>
        <v>0.19999999999999982</v>
      </c>
      <c r="Y205" s="43">
        <f t="shared" si="58"/>
        <v>10.694915254237277</v>
      </c>
      <c r="Z205" s="43">
        <f t="shared" si="59"/>
        <v>53.474576271186429</v>
      </c>
      <c r="AA205" s="44" t="str">
        <f t="shared" si="60"/>
        <v>OK</v>
      </c>
    </row>
    <row r="206" spans="1:27" ht="15" customHeight="1" x14ac:dyDescent="0.25">
      <c r="A206" s="12" t="s">
        <v>333</v>
      </c>
      <c r="B206" s="40">
        <v>56.9</v>
      </c>
      <c r="C206" s="12" t="s">
        <v>334</v>
      </c>
      <c r="D206" s="40">
        <v>129.9</v>
      </c>
      <c r="E206" s="13">
        <f t="shared" si="46"/>
        <v>18.186000000000003</v>
      </c>
      <c r="F206" s="14"/>
      <c r="G206" s="15">
        <v>0.14000000000000001</v>
      </c>
      <c r="H206" s="40">
        <v>0</v>
      </c>
      <c r="I206" s="40">
        <v>21.05</v>
      </c>
      <c r="J206" s="13">
        <f t="shared" si="47"/>
        <v>90.664000000000001</v>
      </c>
      <c r="K206" s="13"/>
      <c r="L206" s="15">
        <f t="shared" si="48"/>
        <v>0.08</v>
      </c>
      <c r="M206" s="13">
        <f t="shared" si="49"/>
        <v>10.392000000000001</v>
      </c>
      <c r="N206" s="13">
        <f t="shared" si="50"/>
        <v>23.372</v>
      </c>
      <c r="O206" s="15">
        <f t="shared" si="51"/>
        <v>0.17992301770592764</v>
      </c>
      <c r="P206" s="16">
        <f t="shared" si="52"/>
        <v>134.39655172413791</v>
      </c>
      <c r="Q206" s="41">
        <f t="shared" si="53"/>
        <v>0.19999999999999987</v>
      </c>
      <c r="T206" s="42"/>
      <c r="U206" s="16">
        <f t="shared" si="54"/>
        <v>161.27586206896549</v>
      </c>
      <c r="V206" s="41">
        <f t="shared" si="55"/>
        <v>0.16666666666666674</v>
      </c>
      <c r="W206" s="17">
        <f t="shared" si="56"/>
        <v>0.29666666666666658</v>
      </c>
      <c r="X206" s="41">
        <f t="shared" si="57"/>
        <v>0.19999999999999987</v>
      </c>
      <c r="Y206" s="43">
        <f t="shared" si="58"/>
        <v>26.879310344827566</v>
      </c>
      <c r="Z206" s="43">
        <f t="shared" si="59"/>
        <v>134.39655172413791</v>
      </c>
      <c r="AA206" s="44" t="str">
        <f t="shared" si="60"/>
        <v>OK</v>
      </c>
    </row>
    <row r="207" spans="1:27" ht="15" customHeight="1" x14ac:dyDescent="0.25">
      <c r="A207" s="12" t="s">
        <v>335</v>
      </c>
      <c r="B207" s="40">
        <v>18.68</v>
      </c>
      <c r="C207" s="12" t="s">
        <v>336</v>
      </c>
      <c r="D207" s="40">
        <v>37.9</v>
      </c>
      <c r="E207" s="13">
        <f t="shared" si="46"/>
        <v>4.3585000000000003</v>
      </c>
      <c r="F207" s="14"/>
      <c r="G207" s="15">
        <v>0.115</v>
      </c>
      <c r="H207" s="40">
        <v>7.95</v>
      </c>
      <c r="I207" s="40">
        <v>0</v>
      </c>
      <c r="J207" s="13">
        <f t="shared" si="47"/>
        <v>25.5915</v>
      </c>
      <c r="K207" s="13"/>
      <c r="L207" s="15">
        <f t="shared" si="48"/>
        <v>0.08</v>
      </c>
      <c r="M207" s="13">
        <f t="shared" si="49"/>
        <v>3.032</v>
      </c>
      <c r="N207" s="13">
        <f t="shared" si="50"/>
        <v>3.8795000000000002</v>
      </c>
      <c r="O207" s="15">
        <f t="shared" si="51"/>
        <v>0.10236147757255938</v>
      </c>
      <c r="P207" s="16">
        <f t="shared" si="52"/>
        <v>44.016528925619838</v>
      </c>
      <c r="Q207" s="41">
        <f t="shared" si="53"/>
        <v>0.2</v>
      </c>
      <c r="T207" s="42"/>
      <c r="U207" s="16">
        <f t="shared" si="54"/>
        <v>52.819834710743805</v>
      </c>
      <c r="V207" s="41">
        <f t="shared" si="55"/>
        <v>0.16666666666666663</v>
      </c>
      <c r="W207" s="17">
        <f t="shared" si="56"/>
        <v>0.30083333333333345</v>
      </c>
      <c r="X207" s="41">
        <f t="shared" si="57"/>
        <v>0.2</v>
      </c>
      <c r="Y207" s="43">
        <f t="shared" si="58"/>
        <v>8.8033057851239676</v>
      </c>
      <c r="Z207" s="43">
        <f t="shared" si="59"/>
        <v>44.016528925619838</v>
      </c>
      <c r="AA207" s="44" t="str">
        <f t="shared" si="60"/>
        <v>OK</v>
      </c>
    </row>
    <row r="208" spans="1:27" ht="15" customHeight="1" x14ac:dyDescent="0.25">
      <c r="A208" s="12" t="s">
        <v>337</v>
      </c>
      <c r="B208" s="40">
        <v>19.03</v>
      </c>
      <c r="C208" s="12" t="s">
        <v>338</v>
      </c>
      <c r="D208" s="40">
        <v>45.9</v>
      </c>
      <c r="E208" s="13">
        <f t="shared" si="46"/>
        <v>5.0489999999999995</v>
      </c>
      <c r="F208" s="14"/>
      <c r="G208" s="15">
        <v>0.11</v>
      </c>
      <c r="H208" s="40">
        <v>6.75</v>
      </c>
      <c r="I208" s="40">
        <v>0</v>
      </c>
      <c r="J208" s="13">
        <f t="shared" si="47"/>
        <v>34.100999999999999</v>
      </c>
      <c r="K208" s="13"/>
      <c r="L208" s="15">
        <f t="shared" si="48"/>
        <v>0.08</v>
      </c>
      <c r="M208" s="13">
        <f t="shared" si="49"/>
        <v>3.6720000000000002</v>
      </c>
      <c r="N208" s="13">
        <f t="shared" si="50"/>
        <v>11.398999999999997</v>
      </c>
      <c r="O208" s="15">
        <f t="shared" si="51"/>
        <v>0.24834422657952065</v>
      </c>
      <c r="P208" s="16">
        <f t="shared" si="52"/>
        <v>42.26229508196721</v>
      </c>
      <c r="Q208" s="41">
        <f t="shared" si="53"/>
        <v>0.19999999999999987</v>
      </c>
      <c r="T208" s="42"/>
      <c r="U208" s="16">
        <f t="shared" si="54"/>
        <v>50.71475409836065</v>
      </c>
      <c r="V208" s="41">
        <f t="shared" si="55"/>
        <v>0.16666666666666663</v>
      </c>
      <c r="W208" s="17">
        <f t="shared" si="56"/>
        <v>0.30166666666666664</v>
      </c>
      <c r="X208" s="41">
        <f t="shared" si="57"/>
        <v>0.19999999999999987</v>
      </c>
      <c r="Y208" s="43">
        <f t="shared" si="58"/>
        <v>8.452459016393437</v>
      </c>
      <c r="Z208" s="43">
        <f t="shared" si="59"/>
        <v>42.26229508196721</v>
      </c>
      <c r="AA208" s="44" t="str">
        <f t="shared" si="60"/>
        <v>OK</v>
      </c>
    </row>
    <row r="209" spans="1:27" ht="15" customHeight="1" x14ac:dyDescent="0.25">
      <c r="A209" s="12" t="s">
        <v>339</v>
      </c>
      <c r="B209" s="40">
        <v>19.03</v>
      </c>
      <c r="C209" s="12" t="s">
        <v>340</v>
      </c>
      <c r="D209" s="40">
        <v>50.9</v>
      </c>
      <c r="E209" s="13">
        <f t="shared" si="46"/>
        <v>5.5990000000000002</v>
      </c>
      <c r="F209" s="14"/>
      <c r="G209" s="15">
        <v>0.11</v>
      </c>
      <c r="H209" s="40">
        <v>7.95</v>
      </c>
      <c r="I209" s="40">
        <v>0</v>
      </c>
      <c r="J209" s="13">
        <f t="shared" si="47"/>
        <v>37.350999999999999</v>
      </c>
      <c r="K209" s="13"/>
      <c r="L209" s="15">
        <f t="shared" si="48"/>
        <v>0.08</v>
      </c>
      <c r="M209" s="13">
        <f t="shared" si="49"/>
        <v>4.0720000000000001</v>
      </c>
      <c r="N209" s="13">
        <f t="shared" si="50"/>
        <v>14.248999999999999</v>
      </c>
      <c r="O209" s="15">
        <f t="shared" si="51"/>
        <v>0.27994106090373277</v>
      </c>
      <c r="P209" s="16">
        <f t="shared" si="52"/>
        <v>44.229508196721305</v>
      </c>
      <c r="Q209" s="41">
        <f t="shared" si="53"/>
        <v>0.19999999999999996</v>
      </c>
      <c r="T209" s="42"/>
      <c r="U209" s="16">
        <f t="shared" si="54"/>
        <v>53.075409836065568</v>
      </c>
      <c r="V209" s="41">
        <f t="shared" si="55"/>
        <v>0.16666666666666674</v>
      </c>
      <c r="W209" s="17">
        <f t="shared" si="56"/>
        <v>0.30166666666666658</v>
      </c>
      <c r="X209" s="41">
        <f t="shared" si="57"/>
        <v>0.19999999999999996</v>
      </c>
      <c r="Y209" s="43">
        <f t="shared" si="58"/>
        <v>8.8459016393442589</v>
      </c>
      <c r="Z209" s="43">
        <f t="shared" si="59"/>
        <v>44.229508196721305</v>
      </c>
      <c r="AA209" s="44" t="str">
        <f t="shared" si="60"/>
        <v>OK</v>
      </c>
    </row>
    <row r="210" spans="1:27" ht="15" customHeight="1" x14ac:dyDescent="0.25">
      <c r="A210" s="12" t="s">
        <v>341</v>
      </c>
      <c r="B210" s="40">
        <v>19.03</v>
      </c>
      <c r="C210" s="12" t="s">
        <v>342</v>
      </c>
      <c r="D210" s="40">
        <v>48.9</v>
      </c>
      <c r="E210" s="13">
        <f t="shared" si="46"/>
        <v>5.3789999999999996</v>
      </c>
      <c r="F210" s="14"/>
      <c r="G210" s="15">
        <v>0.11</v>
      </c>
      <c r="H210" s="40">
        <v>6.75</v>
      </c>
      <c r="I210" s="40">
        <v>0</v>
      </c>
      <c r="J210" s="13">
        <f t="shared" si="47"/>
        <v>36.771000000000001</v>
      </c>
      <c r="K210" s="13"/>
      <c r="L210" s="15">
        <f t="shared" si="48"/>
        <v>0.08</v>
      </c>
      <c r="M210" s="13">
        <f t="shared" si="49"/>
        <v>3.9119999999999999</v>
      </c>
      <c r="N210" s="13">
        <f t="shared" si="50"/>
        <v>13.829000000000001</v>
      </c>
      <c r="O210" s="15">
        <f t="shared" si="51"/>
        <v>0.28280163599182007</v>
      </c>
      <c r="P210" s="16">
        <f t="shared" si="52"/>
        <v>42.26229508196721</v>
      </c>
      <c r="Q210" s="41">
        <f t="shared" si="53"/>
        <v>0.19999999999999987</v>
      </c>
      <c r="T210" s="42"/>
      <c r="U210" s="16">
        <f t="shared" si="54"/>
        <v>50.71475409836065</v>
      </c>
      <c r="V210" s="41">
        <f t="shared" si="55"/>
        <v>0.16666666666666663</v>
      </c>
      <c r="W210" s="17">
        <f t="shared" si="56"/>
        <v>0.30166666666666664</v>
      </c>
      <c r="X210" s="41">
        <f t="shared" si="57"/>
        <v>0.19999999999999987</v>
      </c>
      <c r="Y210" s="43">
        <f t="shared" si="58"/>
        <v>8.452459016393437</v>
      </c>
      <c r="Z210" s="43">
        <f t="shared" si="59"/>
        <v>42.26229508196721</v>
      </c>
      <c r="AA210" s="44" t="str">
        <f t="shared" si="60"/>
        <v>OK</v>
      </c>
    </row>
    <row r="211" spans="1:27" ht="15" customHeight="1" x14ac:dyDescent="0.25">
      <c r="A211" s="12" t="s">
        <v>343</v>
      </c>
      <c r="B211" s="40">
        <v>9.1300000000000008</v>
      </c>
      <c r="C211" s="12" t="s">
        <v>344</v>
      </c>
      <c r="D211" s="40">
        <v>28.9</v>
      </c>
      <c r="E211" s="13">
        <f t="shared" si="46"/>
        <v>3.1789999999999998</v>
      </c>
      <c r="F211" s="14"/>
      <c r="G211" s="15">
        <v>0.11</v>
      </c>
      <c r="H211" s="40">
        <v>6.55</v>
      </c>
      <c r="I211" s="40">
        <v>0</v>
      </c>
      <c r="J211" s="13">
        <f t="shared" si="47"/>
        <v>19.170999999999999</v>
      </c>
      <c r="K211" s="13"/>
      <c r="L211" s="15">
        <f t="shared" si="48"/>
        <v>0.08</v>
      </c>
      <c r="M211" s="13">
        <f t="shared" si="49"/>
        <v>2.3119999999999998</v>
      </c>
      <c r="N211" s="13">
        <f t="shared" si="50"/>
        <v>7.7289999999999992</v>
      </c>
      <c r="O211" s="15">
        <f t="shared" si="51"/>
        <v>0.26743944636678202</v>
      </c>
      <c r="P211" s="16">
        <f t="shared" si="52"/>
        <v>25.704918032786882</v>
      </c>
      <c r="Q211" s="41">
        <f t="shared" si="53"/>
        <v>0.19999999999999982</v>
      </c>
      <c r="T211" s="42"/>
      <c r="U211" s="16">
        <f t="shared" si="54"/>
        <v>30.845901639344255</v>
      </c>
      <c r="V211" s="41">
        <f t="shared" si="55"/>
        <v>0.16666666666666663</v>
      </c>
      <c r="W211" s="17">
        <f t="shared" si="56"/>
        <v>0.30166666666666647</v>
      </c>
      <c r="X211" s="41">
        <f t="shared" si="57"/>
        <v>0.19999999999999982</v>
      </c>
      <c r="Y211" s="43">
        <f t="shared" si="58"/>
        <v>5.1409836065573717</v>
      </c>
      <c r="Z211" s="43">
        <f t="shared" si="59"/>
        <v>25.704918032786882</v>
      </c>
      <c r="AA211" s="44" t="str">
        <f t="shared" si="60"/>
        <v>OK</v>
      </c>
    </row>
    <row r="212" spans="1:27" ht="15" customHeight="1" x14ac:dyDescent="0.25">
      <c r="A212" s="12" t="s">
        <v>345</v>
      </c>
      <c r="B212" s="40">
        <v>9.1300000000000008</v>
      </c>
      <c r="C212" s="12" t="s">
        <v>346</v>
      </c>
      <c r="D212" s="40">
        <v>27.9</v>
      </c>
      <c r="E212" s="13">
        <f t="shared" si="46"/>
        <v>3.069</v>
      </c>
      <c r="F212" s="14"/>
      <c r="G212" s="15">
        <v>0.11</v>
      </c>
      <c r="H212" s="40">
        <v>6.55</v>
      </c>
      <c r="I212" s="40">
        <v>0</v>
      </c>
      <c r="J212" s="13">
        <f t="shared" si="47"/>
        <v>18.280999999999999</v>
      </c>
      <c r="K212" s="13"/>
      <c r="L212" s="15">
        <f t="shared" si="48"/>
        <v>0.08</v>
      </c>
      <c r="M212" s="13">
        <f t="shared" si="49"/>
        <v>2.2319999999999998</v>
      </c>
      <c r="N212" s="13">
        <f t="shared" si="50"/>
        <v>6.9189999999999987</v>
      </c>
      <c r="O212" s="15">
        <f t="shared" si="51"/>
        <v>0.24799283154121859</v>
      </c>
      <c r="P212" s="16">
        <f t="shared" si="52"/>
        <v>25.704918032786882</v>
      </c>
      <c r="Q212" s="41">
        <f t="shared" si="53"/>
        <v>0.19999999999999982</v>
      </c>
      <c r="T212" s="42"/>
      <c r="U212" s="16">
        <f t="shared" si="54"/>
        <v>30.845901639344255</v>
      </c>
      <c r="V212" s="41">
        <f t="shared" si="55"/>
        <v>0.16666666666666663</v>
      </c>
      <c r="W212" s="17">
        <f t="shared" si="56"/>
        <v>0.30166666666666647</v>
      </c>
      <c r="X212" s="41">
        <f t="shared" si="57"/>
        <v>0.19999999999999982</v>
      </c>
      <c r="Y212" s="43">
        <f t="shared" si="58"/>
        <v>5.1409836065573717</v>
      </c>
      <c r="Z212" s="43">
        <f t="shared" si="59"/>
        <v>25.704918032786882</v>
      </c>
      <c r="AA212" s="44" t="str">
        <f t="shared" si="60"/>
        <v>OK</v>
      </c>
    </row>
    <row r="213" spans="1:27" ht="15" customHeight="1" x14ac:dyDescent="0.25">
      <c r="A213" s="12" t="s">
        <v>347</v>
      </c>
      <c r="B213" s="40">
        <v>9.1300000000000008</v>
      </c>
      <c r="C213" s="12" t="s">
        <v>348</v>
      </c>
      <c r="D213" s="40">
        <v>25.9</v>
      </c>
      <c r="E213" s="13">
        <f t="shared" si="46"/>
        <v>2.8489999999999998</v>
      </c>
      <c r="F213" s="14"/>
      <c r="G213" s="15">
        <v>0.11</v>
      </c>
      <c r="H213" s="40">
        <v>6.55</v>
      </c>
      <c r="I213" s="40">
        <v>0</v>
      </c>
      <c r="J213" s="13">
        <f t="shared" si="47"/>
        <v>16.500999999999998</v>
      </c>
      <c r="K213" s="13"/>
      <c r="L213" s="15">
        <f t="shared" si="48"/>
        <v>0.08</v>
      </c>
      <c r="M213" s="13">
        <f t="shared" si="49"/>
        <v>2.0720000000000001</v>
      </c>
      <c r="N213" s="13">
        <f t="shared" si="50"/>
        <v>5.2989999999999968</v>
      </c>
      <c r="O213" s="15">
        <f t="shared" si="51"/>
        <v>0.20459459459459448</v>
      </c>
      <c r="P213" s="16">
        <f t="shared" si="52"/>
        <v>25.704918032786882</v>
      </c>
      <c r="Q213" s="41">
        <f t="shared" si="53"/>
        <v>0.19999999999999982</v>
      </c>
      <c r="T213" s="42"/>
      <c r="U213" s="16">
        <f t="shared" si="54"/>
        <v>30.845901639344255</v>
      </c>
      <c r="V213" s="41">
        <f t="shared" si="55"/>
        <v>0.16666666666666663</v>
      </c>
      <c r="W213" s="17">
        <f t="shared" si="56"/>
        <v>0.30166666666666647</v>
      </c>
      <c r="X213" s="41">
        <f t="shared" si="57"/>
        <v>0.19999999999999982</v>
      </c>
      <c r="Y213" s="43">
        <f t="shared" si="58"/>
        <v>5.1409836065573717</v>
      </c>
      <c r="Z213" s="43">
        <f t="shared" si="59"/>
        <v>25.704918032786882</v>
      </c>
      <c r="AA213" s="44" t="str">
        <f t="shared" si="60"/>
        <v>OK</v>
      </c>
    </row>
    <row r="214" spans="1:27" ht="15" customHeight="1" x14ac:dyDescent="0.25">
      <c r="A214" s="12" t="s">
        <v>99</v>
      </c>
      <c r="B214" s="40">
        <v>50.25</v>
      </c>
      <c r="C214" s="12" t="s">
        <v>349</v>
      </c>
      <c r="D214" s="40">
        <v>78</v>
      </c>
      <c r="E214" s="13">
        <f t="shared" si="46"/>
        <v>8.9700000000000006</v>
      </c>
      <c r="F214" s="14"/>
      <c r="G214" s="15">
        <v>0.115</v>
      </c>
      <c r="H214" s="40">
        <v>7.75</v>
      </c>
      <c r="I214" s="40">
        <v>0</v>
      </c>
      <c r="J214" s="13">
        <f t="shared" si="47"/>
        <v>61.28</v>
      </c>
      <c r="K214" s="13"/>
      <c r="L214" s="15">
        <f t="shared" si="48"/>
        <v>0.08</v>
      </c>
      <c r="M214" s="13">
        <f t="shared" si="49"/>
        <v>6.24</v>
      </c>
      <c r="N214" s="13">
        <f t="shared" si="50"/>
        <v>4.7900000000000009</v>
      </c>
      <c r="O214" s="15">
        <f t="shared" si="51"/>
        <v>6.1410256410256422E-2</v>
      </c>
      <c r="P214" s="16">
        <f t="shared" si="52"/>
        <v>83.057851239669418</v>
      </c>
      <c r="Q214" s="41">
        <f t="shared" si="53"/>
        <v>0.19999999999999982</v>
      </c>
      <c r="T214" s="42"/>
      <c r="U214" s="16">
        <f t="shared" si="54"/>
        <v>99.669421487603302</v>
      </c>
      <c r="V214" s="41">
        <f t="shared" si="55"/>
        <v>0.16666666666666663</v>
      </c>
      <c r="W214" s="17">
        <f t="shared" si="56"/>
        <v>0.30083333333333334</v>
      </c>
      <c r="X214" s="41">
        <f t="shared" si="57"/>
        <v>0.19999999999999982</v>
      </c>
      <c r="Y214" s="43">
        <f t="shared" si="58"/>
        <v>16.611570247933869</v>
      </c>
      <c r="Z214" s="43">
        <f t="shared" si="59"/>
        <v>83.057851239669418</v>
      </c>
      <c r="AA214" s="44" t="str">
        <f t="shared" si="60"/>
        <v>⚠ Subiu p/ frete (I=0)</v>
      </c>
    </row>
    <row r="215" spans="1:27" ht="15" customHeight="1" x14ac:dyDescent="0.25">
      <c r="A215" s="12" t="s">
        <v>350</v>
      </c>
      <c r="B215" s="40">
        <v>7.1</v>
      </c>
      <c r="C215" s="12" t="s">
        <v>351</v>
      </c>
      <c r="D215" s="40">
        <v>25.9</v>
      </c>
      <c r="E215" s="13">
        <f t="shared" si="46"/>
        <v>3.367</v>
      </c>
      <c r="F215" s="14"/>
      <c r="G215" s="15">
        <v>0.13</v>
      </c>
      <c r="H215" s="40">
        <v>6.65</v>
      </c>
      <c r="I215" s="40">
        <v>0</v>
      </c>
      <c r="J215" s="13">
        <f t="shared" si="47"/>
        <v>15.882999999999997</v>
      </c>
      <c r="K215" s="13"/>
      <c r="L215" s="15">
        <f t="shared" si="48"/>
        <v>0.08</v>
      </c>
      <c r="M215" s="13">
        <f t="shared" si="49"/>
        <v>2.0720000000000001</v>
      </c>
      <c r="N215" s="13">
        <f t="shared" si="50"/>
        <v>6.7109999999999976</v>
      </c>
      <c r="O215" s="15">
        <f t="shared" si="51"/>
        <v>0.25911196911196904</v>
      </c>
      <c r="P215" s="16">
        <f t="shared" si="52"/>
        <v>23.305084745762709</v>
      </c>
      <c r="Q215" s="41">
        <f t="shared" si="53"/>
        <v>0.1999999999999999</v>
      </c>
      <c r="T215" s="42"/>
      <c r="U215" s="16">
        <f t="shared" si="54"/>
        <v>27.966101694915249</v>
      </c>
      <c r="V215" s="41">
        <f t="shared" si="55"/>
        <v>0.16666666666666663</v>
      </c>
      <c r="W215" s="17">
        <f t="shared" si="56"/>
        <v>0.29833333333333317</v>
      </c>
      <c r="X215" s="41">
        <f t="shared" si="57"/>
        <v>0.1999999999999999</v>
      </c>
      <c r="Y215" s="43">
        <f t="shared" si="58"/>
        <v>4.6610169491525397</v>
      </c>
      <c r="Z215" s="43">
        <f t="shared" si="59"/>
        <v>23.305084745762709</v>
      </c>
      <c r="AA215" s="44" t="str">
        <f t="shared" si="60"/>
        <v>OK</v>
      </c>
    </row>
    <row r="216" spans="1:27" ht="15" customHeight="1" x14ac:dyDescent="0.25">
      <c r="A216" s="12" t="s">
        <v>352</v>
      </c>
      <c r="B216" s="40">
        <v>0.54</v>
      </c>
      <c r="C216" s="12" t="s">
        <v>353</v>
      </c>
      <c r="D216" s="40">
        <v>9</v>
      </c>
      <c r="E216" s="13">
        <f t="shared" si="46"/>
        <v>1.17</v>
      </c>
      <c r="F216" s="14"/>
      <c r="G216" s="15">
        <v>0.13</v>
      </c>
      <c r="H216" s="40">
        <v>4.5</v>
      </c>
      <c r="I216" s="40">
        <v>0</v>
      </c>
      <c r="J216" s="13">
        <f t="shared" si="47"/>
        <v>3.33</v>
      </c>
      <c r="K216" s="13"/>
      <c r="L216" s="15">
        <f t="shared" si="48"/>
        <v>0.08</v>
      </c>
      <c r="M216" s="13">
        <f t="shared" si="49"/>
        <v>0.72</v>
      </c>
      <c r="N216" s="13">
        <f t="shared" si="50"/>
        <v>2.0700000000000003</v>
      </c>
      <c r="O216" s="15">
        <f t="shared" si="51"/>
        <v>0.23000000000000004</v>
      </c>
      <c r="P216" s="16">
        <f t="shared" si="52"/>
        <v>8.5423728813559308</v>
      </c>
      <c r="Q216" s="41">
        <f t="shared" si="53"/>
        <v>0.1999999999999999</v>
      </c>
      <c r="T216" s="42"/>
      <c r="U216" s="16">
        <f t="shared" si="54"/>
        <v>10.250847457627117</v>
      </c>
      <c r="V216" s="41">
        <f t="shared" si="55"/>
        <v>0.16666666666666663</v>
      </c>
      <c r="W216" s="17">
        <f t="shared" si="56"/>
        <v>0.29833333333333323</v>
      </c>
      <c r="X216" s="41">
        <f t="shared" si="57"/>
        <v>0.1999999999999999</v>
      </c>
      <c r="Y216" s="43">
        <f t="shared" si="58"/>
        <v>1.7084745762711853</v>
      </c>
      <c r="Z216" s="43">
        <f t="shared" si="59"/>
        <v>8.5423728813559308</v>
      </c>
      <c r="AA216" s="44" t="str">
        <f t="shared" si="60"/>
        <v>OK</v>
      </c>
    </row>
    <row r="217" spans="1:27" ht="15" customHeight="1" x14ac:dyDescent="0.25">
      <c r="A217" s="12" t="s">
        <v>354</v>
      </c>
      <c r="B217" s="40">
        <v>1.9</v>
      </c>
      <c r="C217" s="12" t="s">
        <v>355</v>
      </c>
      <c r="D217" s="40">
        <v>17.899999999999999</v>
      </c>
      <c r="E217" s="13">
        <f t="shared" si="46"/>
        <v>2.327</v>
      </c>
      <c r="F217" s="14"/>
      <c r="G217" s="15">
        <v>0.13</v>
      </c>
      <c r="H217" s="40">
        <v>8.5500000000000007</v>
      </c>
      <c r="I217" s="40">
        <v>0</v>
      </c>
      <c r="J217" s="13">
        <f t="shared" si="47"/>
        <v>7.0229999999999979</v>
      </c>
      <c r="K217" s="13"/>
      <c r="L217" s="15">
        <f t="shared" si="48"/>
        <v>0.08</v>
      </c>
      <c r="M217" s="13">
        <f t="shared" si="49"/>
        <v>1.4319999999999999</v>
      </c>
      <c r="N217" s="13">
        <f t="shared" si="50"/>
        <v>3.6909999999999976</v>
      </c>
      <c r="O217" s="15">
        <f t="shared" si="51"/>
        <v>0.20620111731843563</v>
      </c>
      <c r="P217" s="16">
        <f t="shared" si="52"/>
        <v>17.711864406779661</v>
      </c>
      <c r="Q217" s="41">
        <f t="shared" si="53"/>
        <v>0.19999999999999998</v>
      </c>
      <c r="T217" s="42"/>
      <c r="U217" s="16">
        <f t="shared" si="54"/>
        <v>21.254237288135592</v>
      </c>
      <c r="V217" s="41">
        <f t="shared" si="55"/>
        <v>0.16666666666666663</v>
      </c>
      <c r="W217" s="17">
        <f t="shared" si="56"/>
        <v>0.29833333333333317</v>
      </c>
      <c r="X217" s="41">
        <f t="shared" si="57"/>
        <v>0.19999999999999998</v>
      </c>
      <c r="Y217" s="43">
        <f t="shared" si="58"/>
        <v>3.5423728813559321</v>
      </c>
      <c r="Z217" s="43">
        <f t="shared" si="59"/>
        <v>17.711864406779661</v>
      </c>
      <c r="AA217" s="44" t="str">
        <f t="shared" si="60"/>
        <v>OK</v>
      </c>
    </row>
    <row r="218" spans="1:27" ht="15" customHeight="1" x14ac:dyDescent="0.25">
      <c r="A218" s="12" t="s">
        <v>356</v>
      </c>
      <c r="B218" s="40">
        <v>3.7</v>
      </c>
      <c r="C218" s="12" t="s">
        <v>357</v>
      </c>
      <c r="D218" s="40">
        <v>17.899999999999999</v>
      </c>
      <c r="E218" s="13">
        <f t="shared" si="46"/>
        <v>2.327</v>
      </c>
      <c r="F218" s="14"/>
      <c r="G218" s="15">
        <v>0.13</v>
      </c>
      <c r="H218" s="40">
        <v>8.5500000000000007</v>
      </c>
      <c r="I218" s="40">
        <v>0</v>
      </c>
      <c r="J218" s="13">
        <f t="shared" si="47"/>
        <v>7.0229999999999979</v>
      </c>
      <c r="K218" s="13"/>
      <c r="L218" s="15">
        <f t="shared" si="48"/>
        <v>0.08</v>
      </c>
      <c r="M218" s="13">
        <f t="shared" si="49"/>
        <v>1.4319999999999999</v>
      </c>
      <c r="N218" s="13">
        <f t="shared" si="50"/>
        <v>1.8909999999999978</v>
      </c>
      <c r="O218" s="15">
        <f t="shared" si="51"/>
        <v>0.10564245810055854</v>
      </c>
      <c r="P218" s="16">
        <f t="shared" si="52"/>
        <v>20.762711864406779</v>
      </c>
      <c r="Q218" s="41">
        <f t="shared" si="53"/>
        <v>0.19999999999999987</v>
      </c>
      <c r="T218" s="42"/>
      <c r="U218" s="16">
        <f t="shared" si="54"/>
        <v>24.915254237288135</v>
      </c>
      <c r="V218" s="41">
        <f t="shared" si="55"/>
        <v>0.16666666666666674</v>
      </c>
      <c r="W218" s="17">
        <f t="shared" si="56"/>
        <v>0.29833333333333323</v>
      </c>
      <c r="X218" s="41">
        <f t="shared" si="57"/>
        <v>0.19999999999999987</v>
      </c>
      <c r="Y218" s="43">
        <f t="shared" si="58"/>
        <v>4.1525423728813529</v>
      </c>
      <c r="Z218" s="43">
        <f t="shared" si="59"/>
        <v>20.762711864406779</v>
      </c>
      <c r="AA218" s="44" t="str">
        <f t="shared" si="60"/>
        <v>OK</v>
      </c>
    </row>
    <row r="219" spans="1:27" ht="15" customHeight="1" x14ac:dyDescent="0.25">
      <c r="A219" s="12" t="s">
        <v>358</v>
      </c>
      <c r="B219" s="40">
        <v>17.64</v>
      </c>
      <c r="C219" s="12" t="s">
        <v>359</v>
      </c>
      <c r="D219" s="40">
        <v>26.9</v>
      </c>
      <c r="E219" s="13">
        <f t="shared" si="46"/>
        <v>3.0935000000000001</v>
      </c>
      <c r="F219" s="14"/>
      <c r="G219" s="15">
        <v>0.115</v>
      </c>
      <c r="H219" s="40">
        <v>6.85</v>
      </c>
      <c r="I219" s="40">
        <v>0</v>
      </c>
      <c r="J219" s="13">
        <f t="shared" si="47"/>
        <v>16.956499999999998</v>
      </c>
      <c r="K219" s="13"/>
      <c r="L219" s="15">
        <f t="shared" si="48"/>
        <v>0.08</v>
      </c>
      <c r="M219" s="13">
        <f t="shared" si="49"/>
        <v>2.1520000000000001</v>
      </c>
      <c r="N219" s="13">
        <f t="shared" si="50"/>
        <v>-2.8355000000000024</v>
      </c>
      <c r="O219" s="15">
        <f t="shared" si="51"/>
        <v>-0.1054089219330856</v>
      </c>
      <c r="P219" s="16">
        <f t="shared" si="52"/>
        <v>40.47933884297521</v>
      </c>
      <c r="Q219" s="41">
        <f t="shared" si="53"/>
        <v>0.2</v>
      </c>
      <c r="T219" s="42"/>
      <c r="U219" s="16">
        <f t="shared" si="54"/>
        <v>48.575206611570252</v>
      </c>
      <c r="V219" s="41">
        <f t="shared" si="55"/>
        <v>0.16666666666666663</v>
      </c>
      <c r="W219" s="17">
        <f t="shared" si="56"/>
        <v>0.30083333333333323</v>
      </c>
      <c r="X219" s="41">
        <f t="shared" si="57"/>
        <v>0.2</v>
      </c>
      <c r="Y219" s="43">
        <f t="shared" si="58"/>
        <v>8.095867768595042</v>
      </c>
      <c r="Z219" s="43">
        <f t="shared" si="59"/>
        <v>40.47933884297521</v>
      </c>
      <c r="AA219" s="44" t="str">
        <f t="shared" si="60"/>
        <v>OK</v>
      </c>
    </row>
    <row r="220" spans="1:27" ht="15" customHeight="1" x14ac:dyDescent="0.25">
      <c r="A220" s="12" t="s">
        <v>360</v>
      </c>
      <c r="B220" s="40">
        <v>28.6</v>
      </c>
      <c r="C220" s="12" t="s">
        <v>361</v>
      </c>
      <c r="D220" s="40">
        <v>112.9</v>
      </c>
      <c r="E220" s="14"/>
      <c r="F220" s="13">
        <f>D220*G220</f>
        <v>18.628500000000003</v>
      </c>
      <c r="G220" s="15">
        <v>0.16500000000000001</v>
      </c>
      <c r="H220" s="40">
        <v>0</v>
      </c>
      <c r="I220" s="40">
        <v>16.149999999999999</v>
      </c>
      <c r="J220" s="13">
        <f t="shared" si="47"/>
        <v>78.121499999999997</v>
      </c>
      <c r="K220" s="13"/>
      <c r="L220" s="15">
        <f t="shared" si="48"/>
        <v>0.08</v>
      </c>
      <c r="M220" s="13">
        <f t="shared" si="49"/>
        <v>9.032</v>
      </c>
      <c r="N220" s="13">
        <f t="shared" si="50"/>
        <v>40.489499999999992</v>
      </c>
      <c r="O220" s="15">
        <f t="shared" si="51"/>
        <v>0.35863153232949502</v>
      </c>
      <c r="P220" s="16">
        <f t="shared" si="52"/>
        <v>51.531531531531542</v>
      </c>
      <c r="Q220" s="41">
        <f t="shared" si="53"/>
        <v>0.20000000000000007</v>
      </c>
      <c r="T220" s="42"/>
      <c r="U220" s="16">
        <f t="shared" si="54"/>
        <v>61.837837837837846</v>
      </c>
      <c r="V220" s="41">
        <f t="shared" si="55"/>
        <v>0.16666666666666663</v>
      </c>
      <c r="W220" s="17">
        <f t="shared" si="56"/>
        <v>0.29250000000000009</v>
      </c>
      <c r="X220" s="41">
        <f t="shared" si="57"/>
        <v>0.20000000000000007</v>
      </c>
      <c r="Y220" s="43">
        <f t="shared" si="58"/>
        <v>10.306306306306311</v>
      </c>
      <c r="Z220" s="43">
        <f t="shared" si="59"/>
        <v>51.531531531531542</v>
      </c>
      <c r="AA220" s="44" t="str">
        <f t="shared" si="60"/>
        <v>OK</v>
      </c>
    </row>
    <row r="221" spans="1:27" ht="15" customHeight="1" x14ac:dyDescent="0.25">
      <c r="A221" s="12" t="s">
        <v>360</v>
      </c>
      <c r="B221" s="40">
        <v>28.6</v>
      </c>
      <c r="C221" s="12" t="s">
        <v>362</v>
      </c>
      <c r="D221" s="40">
        <v>95.9</v>
      </c>
      <c r="E221" s="13">
        <f>D221*G221</f>
        <v>11.028500000000001</v>
      </c>
      <c r="F221" s="14"/>
      <c r="G221" s="15">
        <v>0.115</v>
      </c>
      <c r="H221" s="40">
        <v>0</v>
      </c>
      <c r="I221" s="40">
        <v>13.85</v>
      </c>
      <c r="J221" s="13">
        <f t="shared" si="47"/>
        <v>71.021500000000003</v>
      </c>
      <c r="K221" s="13"/>
      <c r="L221" s="15">
        <f t="shared" si="48"/>
        <v>0.08</v>
      </c>
      <c r="M221" s="13">
        <f t="shared" si="49"/>
        <v>7.6720000000000006</v>
      </c>
      <c r="N221" s="13">
        <f t="shared" si="50"/>
        <v>34.749499999999998</v>
      </c>
      <c r="O221" s="15">
        <f t="shared" si="51"/>
        <v>0.3623514077163712</v>
      </c>
      <c r="P221" s="16">
        <f t="shared" si="52"/>
        <v>47.272727272727273</v>
      </c>
      <c r="Q221" s="41">
        <f t="shared" si="53"/>
        <v>0.19999999999999998</v>
      </c>
      <c r="T221" s="42"/>
      <c r="U221" s="16">
        <f t="shared" si="54"/>
        <v>56.727272727272727</v>
      </c>
      <c r="V221" s="41">
        <f t="shared" si="55"/>
        <v>0.16666666666666663</v>
      </c>
      <c r="W221" s="17">
        <f t="shared" si="56"/>
        <v>0.30083333333333329</v>
      </c>
      <c r="X221" s="41">
        <f t="shared" si="57"/>
        <v>0.19999999999999998</v>
      </c>
      <c r="Y221" s="43">
        <f t="shared" si="58"/>
        <v>9.4545454545454533</v>
      </c>
      <c r="Z221" s="43">
        <f t="shared" si="59"/>
        <v>47.272727272727273</v>
      </c>
      <c r="AA221" s="44" t="str">
        <f t="shared" si="60"/>
        <v>OK</v>
      </c>
    </row>
    <row r="222" spans="1:27" ht="15" customHeight="1" x14ac:dyDescent="0.25">
      <c r="A222" s="12" t="s">
        <v>363</v>
      </c>
      <c r="B222" s="40">
        <v>31.78</v>
      </c>
      <c r="C222" s="12" t="s">
        <v>364</v>
      </c>
      <c r="D222" s="40">
        <v>63.9</v>
      </c>
      <c r="E222" s="13">
        <f>D222*G222</f>
        <v>7.3485000000000005</v>
      </c>
      <c r="F222" s="14"/>
      <c r="G222" s="15">
        <v>0.115</v>
      </c>
      <c r="H222" s="40">
        <v>8.0500000000000007</v>
      </c>
      <c r="I222" s="40">
        <v>0</v>
      </c>
      <c r="J222" s="13">
        <f t="shared" si="47"/>
        <v>48.501499999999993</v>
      </c>
      <c r="K222" s="13"/>
      <c r="L222" s="15">
        <f t="shared" si="48"/>
        <v>0.08</v>
      </c>
      <c r="M222" s="13">
        <f t="shared" si="49"/>
        <v>5.1120000000000001</v>
      </c>
      <c r="N222" s="13">
        <f t="shared" si="50"/>
        <v>11.609499999999992</v>
      </c>
      <c r="O222" s="15">
        <f t="shared" si="51"/>
        <v>0.1816823161189357</v>
      </c>
      <c r="P222" s="16">
        <f t="shared" si="52"/>
        <v>65.834710743801651</v>
      </c>
      <c r="Q222" s="41">
        <f t="shared" si="53"/>
        <v>0.19999999999999996</v>
      </c>
      <c r="T222" s="42"/>
      <c r="U222" s="16">
        <f t="shared" si="54"/>
        <v>79.001652892561978</v>
      </c>
      <c r="V222" s="41">
        <f t="shared" si="55"/>
        <v>0.16666666666666663</v>
      </c>
      <c r="W222" s="17">
        <f t="shared" si="56"/>
        <v>0.40272993555946102</v>
      </c>
      <c r="X222" s="41">
        <f t="shared" si="57"/>
        <v>0.19999999999999996</v>
      </c>
      <c r="Y222" s="43">
        <f t="shared" si="58"/>
        <v>13.166942148760327</v>
      </c>
      <c r="Z222" s="43">
        <f t="shared" si="59"/>
        <v>65.834710743801651</v>
      </c>
      <c r="AA222" s="44" t="str">
        <f t="shared" si="60"/>
        <v>OK</v>
      </c>
    </row>
    <row r="223" spans="1:27" ht="15" customHeight="1" x14ac:dyDescent="0.25">
      <c r="A223" s="12" t="s">
        <v>363</v>
      </c>
      <c r="B223" s="40">
        <v>31.78</v>
      </c>
      <c r="C223" s="12" t="s">
        <v>365</v>
      </c>
      <c r="D223" s="40">
        <v>69.900000000000006</v>
      </c>
      <c r="E223" s="14"/>
      <c r="F223" s="13">
        <f>D223*G223</f>
        <v>11.533500000000002</v>
      </c>
      <c r="G223" s="15">
        <v>0.16500000000000001</v>
      </c>
      <c r="H223" s="40">
        <v>8.0500000000000007</v>
      </c>
      <c r="I223" s="40">
        <v>0</v>
      </c>
      <c r="J223" s="13">
        <f t="shared" si="47"/>
        <v>50.316500000000005</v>
      </c>
      <c r="K223" s="13"/>
      <c r="L223" s="15">
        <f t="shared" si="48"/>
        <v>0.08</v>
      </c>
      <c r="M223" s="13">
        <f t="shared" si="49"/>
        <v>5.5920000000000005</v>
      </c>
      <c r="N223" s="13">
        <f t="shared" si="50"/>
        <v>12.944500000000003</v>
      </c>
      <c r="O223" s="15">
        <f t="shared" si="51"/>
        <v>0.18518597997138772</v>
      </c>
      <c r="P223" s="16">
        <f t="shared" si="52"/>
        <v>71.765765765765764</v>
      </c>
      <c r="Q223" s="41">
        <f t="shared" si="53"/>
        <v>0.20000000000000007</v>
      </c>
      <c r="T223" s="42"/>
      <c r="U223" s="16">
        <f t="shared" si="54"/>
        <v>86.118918918918908</v>
      </c>
      <c r="V223" s="41">
        <f t="shared" si="55"/>
        <v>0.16666666666666663</v>
      </c>
      <c r="W223" s="17">
        <f t="shared" si="56"/>
        <v>0.38597539543057996</v>
      </c>
      <c r="X223" s="41">
        <f t="shared" si="57"/>
        <v>0.20000000000000007</v>
      </c>
      <c r="Y223" s="43">
        <f t="shared" si="58"/>
        <v>14.353153153153158</v>
      </c>
      <c r="Z223" s="43">
        <f t="shared" si="59"/>
        <v>71.765765765765764</v>
      </c>
      <c r="AA223" s="44" t="str">
        <f t="shared" si="60"/>
        <v>OK</v>
      </c>
    </row>
    <row r="224" spans="1:27" ht="15" customHeight="1" x14ac:dyDescent="0.25">
      <c r="A224" s="12" t="s">
        <v>358</v>
      </c>
      <c r="B224" s="40">
        <v>17.64</v>
      </c>
      <c r="C224" s="12" t="s">
        <v>366</v>
      </c>
      <c r="D224" s="40">
        <v>39.9</v>
      </c>
      <c r="E224" s="13">
        <f>D224*G224</f>
        <v>4.5884999999999998</v>
      </c>
      <c r="F224" s="14"/>
      <c r="G224" s="15">
        <v>0.115</v>
      </c>
      <c r="H224" s="40">
        <v>6.85</v>
      </c>
      <c r="I224" s="40">
        <v>0</v>
      </c>
      <c r="J224" s="13">
        <f t="shared" si="47"/>
        <v>28.461499999999994</v>
      </c>
      <c r="K224" s="13"/>
      <c r="L224" s="15">
        <f t="shared" si="48"/>
        <v>0.08</v>
      </c>
      <c r="M224" s="13">
        <f t="shared" si="49"/>
        <v>3.1920000000000002</v>
      </c>
      <c r="N224" s="13">
        <f t="shared" si="50"/>
        <v>7.6294999999999931</v>
      </c>
      <c r="O224" s="15">
        <f t="shared" si="51"/>
        <v>0.19121553884711762</v>
      </c>
      <c r="P224" s="16">
        <f t="shared" si="52"/>
        <v>40.47933884297521</v>
      </c>
      <c r="Q224" s="41">
        <f t="shared" si="53"/>
        <v>0.2</v>
      </c>
      <c r="T224" s="42"/>
      <c r="U224" s="16">
        <f t="shared" si="54"/>
        <v>48.575206611570252</v>
      </c>
      <c r="V224" s="41">
        <f t="shared" si="55"/>
        <v>0.16666666666666663</v>
      </c>
      <c r="W224" s="17">
        <f t="shared" si="56"/>
        <v>0.30083333333333323</v>
      </c>
      <c r="X224" s="41">
        <f t="shared" si="57"/>
        <v>0.2</v>
      </c>
      <c r="Y224" s="43">
        <f t="shared" si="58"/>
        <v>8.095867768595042</v>
      </c>
      <c r="Z224" s="43">
        <f t="shared" si="59"/>
        <v>40.47933884297521</v>
      </c>
      <c r="AA224" s="44" t="str">
        <f t="shared" si="60"/>
        <v>OK</v>
      </c>
    </row>
    <row r="225" spans="1:27" ht="15" customHeight="1" x14ac:dyDescent="0.25">
      <c r="A225" s="12" t="s">
        <v>367</v>
      </c>
      <c r="B225" s="40">
        <v>31.2</v>
      </c>
      <c r="C225" s="12" t="s">
        <v>368</v>
      </c>
      <c r="D225" s="40">
        <v>99.9</v>
      </c>
      <c r="E225" s="13">
        <f>D225*G225</f>
        <v>11.488500000000002</v>
      </c>
      <c r="F225" s="14"/>
      <c r="G225" s="15">
        <v>0.115</v>
      </c>
      <c r="H225" s="40">
        <v>0</v>
      </c>
      <c r="I225" s="40">
        <v>13.85</v>
      </c>
      <c r="J225" s="13">
        <f t="shared" si="47"/>
        <v>74.561500000000009</v>
      </c>
      <c r="K225" s="13"/>
      <c r="L225" s="15">
        <f t="shared" si="48"/>
        <v>0.08</v>
      </c>
      <c r="M225" s="13">
        <f t="shared" si="49"/>
        <v>7.9920000000000009</v>
      </c>
      <c r="N225" s="13">
        <f t="shared" si="50"/>
        <v>35.369500000000002</v>
      </c>
      <c r="O225" s="15">
        <f t="shared" si="51"/>
        <v>0.35404904904904905</v>
      </c>
      <c r="P225" s="16">
        <f t="shared" si="52"/>
        <v>51.570247933884296</v>
      </c>
      <c r="Q225" s="41">
        <f t="shared" si="53"/>
        <v>0.20000000000000009</v>
      </c>
      <c r="T225" s="42"/>
      <c r="U225" s="16">
        <f t="shared" si="54"/>
        <v>61.88429752066115</v>
      </c>
      <c r="V225" s="41">
        <f t="shared" si="55"/>
        <v>0.16666666666666663</v>
      </c>
      <c r="W225" s="17">
        <f t="shared" si="56"/>
        <v>0.30083333333333329</v>
      </c>
      <c r="X225" s="41">
        <f t="shared" si="57"/>
        <v>0.20000000000000009</v>
      </c>
      <c r="Y225" s="43">
        <f t="shared" si="58"/>
        <v>10.314049586776864</v>
      </c>
      <c r="Z225" s="43">
        <f t="shared" si="59"/>
        <v>51.570247933884296</v>
      </c>
      <c r="AA225" s="44" t="str">
        <f t="shared" si="60"/>
        <v>OK</v>
      </c>
    </row>
    <row r="226" spans="1:27" ht="15" customHeight="1" x14ac:dyDescent="0.25">
      <c r="A226" s="12" t="s">
        <v>369</v>
      </c>
      <c r="B226" s="40">
        <v>13.67</v>
      </c>
      <c r="C226" s="12" t="s">
        <v>370</v>
      </c>
      <c r="D226" s="40">
        <v>34.9</v>
      </c>
      <c r="E226" s="13">
        <f>D226*G226</f>
        <v>4.0134999999999996</v>
      </c>
      <c r="F226" s="14"/>
      <c r="G226" s="15">
        <v>0.115</v>
      </c>
      <c r="H226" s="40">
        <v>7.95</v>
      </c>
      <c r="I226" s="40">
        <v>0</v>
      </c>
      <c r="J226" s="13">
        <f t="shared" si="47"/>
        <v>22.936499999999999</v>
      </c>
      <c r="K226" s="13"/>
      <c r="L226" s="15">
        <f t="shared" si="48"/>
        <v>0.08</v>
      </c>
      <c r="M226" s="13">
        <f t="shared" si="49"/>
        <v>2.7919999999999998</v>
      </c>
      <c r="N226" s="13">
        <f t="shared" si="50"/>
        <v>6.474499999999999</v>
      </c>
      <c r="O226" s="15">
        <f t="shared" si="51"/>
        <v>0.18551575931232089</v>
      </c>
      <c r="P226" s="16">
        <f t="shared" si="52"/>
        <v>35.735537190082646</v>
      </c>
      <c r="Q226" s="41">
        <f t="shared" si="53"/>
        <v>0.19999999999999998</v>
      </c>
      <c r="T226" s="42"/>
      <c r="U226" s="16">
        <f t="shared" si="54"/>
        <v>42.882644628099172</v>
      </c>
      <c r="V226" s="41">
        <f t="shared" si="55"/>
        <v>0.16666666666666663</v>
      </c>
      <c r="W226" s="17">
        <f t="shared" si="56"/>
        <v>0.3008333333333334</v>
      </c>
      <c r="X226" s="41">
        <f t="shared" si="57"/>
        <v>0.19999999999999998</v>
      </c>
      <c r="Y226" s="43">
        <f t="shared" si="58"/>
        <v>7.147107438016528</v>
      </c>
      <c r="Z226" s="43">
        <f t="shared" si="59"/>
        <v>35.735537190082646</v>
      </c>
      <c r="AA226" s="44" t="str">
        <f t="shared" si="60"/>
        <v>OK</v>
      </c>
    </row>
    <row r="227" spans="1:27" ht="15" customHeight="1" x14ac:dyDescent="0.25">
      <c r="A227" s="12" t="s">
        <v>371</v>
      </c>
      <c r="B227" s="40">
        <v>23.54</v>
      </c>
      <c r="C227" s="12" t="s">
        <v>372</v>
      </c>
      <c r="D227" s="40">
        <v>84.9</v>
      </c>
      <c r="E227" s="13">
        <f>D227*G227</f>
        <v>9.7635000000000005</v>
      </c>
      <c r="F227" s="14"/>
      <c r="G227" s="15">
        <v>0.115</v>
      </c>
      <c r="H227" s="40">
        <v>0</v>
      </c>
      <c r="I227" s="40">
        <v>15.75</v>
      </c>
      <c r="J227" s="13">
        <f t="shared" si="47"/>
        <v>59.386500000000012</v>
      </c>
      <c r="K227" s="13"/>
      <c r="L227" s="15">
        <f t="shared" si="48"/>
        <v>0.08</v>
      </c>
      <c r="M227" s="13">
        <f t="shared" si="49"/>
        <v>6.7920000000000007</v>
      </c>
      <c r="N227" s="13">
        <f t="shared" si="50"/>
        <v>29.054500000000012</v>
      </c>
      <c r="O227" s="15">
        <f t="shared" si="51"/>
        <v>0.34222025912838644</v>
      </c>
      <c r="P227" s="16">
        <f t="shared" si="52"/>
        <v>38.909090909090907</v>
      </c>
      <c r="Q227" s="41">
        <f t="shared" si="53"/>
        <v>0.1999999999999999</v>
      </c>
      <c r="T227" s="42"/>
      <c r="U227" s="16">
        <f t="shared" si="54"/>
        <v>46.690909090909088</v>
      </c>
      <c r="V227" s="41">
        <f t="shared" si="55"/>
        <v>0.16666666666666663</v>
      </c>
      <c r="W227" s="17">
        <f t="shared" si="56"/>
        <v>0.30083333333333329</v>
      </c>
      <c r="X227" s="41">
        <f t="shared" si="57"/>
        <v>0.1999999999999999</v>
      </c>
      <c r="Y227" s="43">
        <f t="shared" si="58"/>
        <v>7.7818181818181777</v>
      </c>
      <c r="Z227" s="43">
        <f t="shared" si="59"/>
        <v>38.909090909090907</v>
      </c>
      <c r="AA227" s="44" t="str">
        <f t="shared" si="60"/>
        <v>OK</v>
      </c>
    </row>
    <row r="228" spans="1:27" ht="15" customHeight="1" x14ac:dyDescent="0.25">
      <c r="A228" s="12" t="s">
        <v>371</v>
      </c>
      <c r="B228" s="40">
        <v>23.54</v>
      </c>
      <c r="C228" s="12" t="s">
        <v>373</v>
      </c>
      <c r="D228" s="40">
        <v>92.9</v>
      </c>
      <c r="E228" s="14"/>
      <c r="F228" s="13">
        <f>D228*G228</f>
        <v>15.328500000000002</v>
      </c>
      <c r="G228" s="15">
        <v>0.16500000000000001</v>
      </c>
      <c r="H228" s="40">
        <v>0</v>
      </c>
      <c r="I228" s="40">
        <v>15.75</v>
      </c>
      <c r="J228" s="13">
        <f t="shared" si="47"/>
        <v>61.8215</v>
      </c>
      <c r="K228" s="13"/>
      <c r="L228" s="15">
        <f t="shared" si="48"/>
        <v>0.08</v>
      </c>
      <c r="M228" s="13">
        <f t="shared" si="49"/>
        <v>7.4320000000000004</v>
      </c>
      <c r="N228" s="13">
        <f t="shared" si="50"/>
        <v>30.849499999999999</v>
      </c>
      <c r="O228" s="15">
        <f t="shared" si="51"/>
        <v>0.33207212055974161</v>
      </c>
      <c r="P228" s="16">
        <f t="shared" si="52"/>
        <v>42.414414414414416</v>
      </c>
      <c r="Q228" s="41">
        <f t="shared" si="53"/>
        <v>0.20000000000000018</v>
      </c>
      <c r="T228" s="42"/>
      <c r="U228" s="16">
        <f t="shared" si="54"/>
        <v>50.8972972972973</v>
      </c>
      <c r="V228" s="41">
        <f t="shared" si="55"/>
        <v>0.16666666666666663</v>
      </c>
      <c r="W228" s="17">
        <f t="shared" si="56"/>
        <v>0.29249999999999993</v>
      </c>
      <c r="X228" s="41">
        <f t="shared" si="57"/>
        <v>0.20000000000000018</v>
      </c>
      <c r="Y228" s="43">
        <f t="shared" si="58"/>
        <v>8.4828828828828904</v>
      </c>
      <c r="Z228" s="43">
        <f t="shared" si="59"/>
        <v>42.414414414414416</v>
      </c>
      <c r="AA228" s="44" t="str">
        <f t="shared" si="60"/>
        <v>OK</v>
      </c>
    </row>
    <row r="229" spans="1:27" ht="15" customHeight="1" x14ac:dyDescent="0.25">
      <c r="A229" s="12" t="s">
        <v>92</v>
      </c>
      <c r="B229" s="45" t="s">
        <v>32</v>
      </c>
      <c r="C229" s="12" t="s">
        <v>374</v>
      </c>
      <c r="D229" s="40">
        <v>39.9</v>
      </c>
      <c r="E229" s="14"/>
      <c r="F229" s="13">
        <f>D229*G229</f>
        <v>6.5834999999999999</v>
      </c>
      <c r="G229" s="15">
        <v>0.16500000000000001</v>
      </c>
      <c r="H229" s="40">
        <v>6.75</v>
      </c>
      <c r="I229" s="40">
        <v>0</v>
      </c>
      <c r="J229" s="13">
        <f t="shared" si="47"/>
        <v>26.566499999999998</v>
      </c>
      <c r="K229" s="14"/>
      <c r="L229" s="15">
        <f t="shared" si="48"/>
        <v>0.08</v>
      </c>
      <c r="M229" s="13">
        <f t="shared" si="49"/>
        <v>3.1920000000000002</v>
      </c>
      <c r="N229" s="13">
        <f t="shared" si="50"/>
        <v>23.374499999999998</v>
      </c>
      <c r="O229" s="15">
        <f t="shared" si="51"/>
        <v>0.58582706766917292</v>
      </c>
      <c r="P229" s="16" t="str">
        <f t="shared" si="52"/>
        <v/>
      </c>
      <c r="Q229" s="41" t="str">
        <f t="shared" si="53"/>
        <v/>
      </c>
      <c r="T229" s="42"/>
      <c r="U229" s="16" t="str">
        <f t="shared" si="54"/>
        <v/>
      </c>
      <c r="V229" s="41" t="str">
        <f t="shared" si="55"/>
        <v/>
      </c>
      <c r="W229" s="17" t="str">
        <f t="shared" si="56"/>
        <v/>
      </c>
      <c r="X229" s="41" t="str">
        <f t="shared" si="57"/>
        <v/>
      </c>
      <c r="Y229" s="43" t="str">
        <f t="shared" si="58"/>
        <v/>
      </c>
      <c r="Z229" s="43" t="str">
        <f t="shared" si="59"/>
        <v/>
      </c>
      <c r="AA229" s="44" t="str">
        <f t="shared" si="60"/>
        <v>Sem custo</v>
      </c>
    </row>
    <row r="230" spans="1:27" ht="15" customHeight="1" x14ac:dyDescent="0.25">
      <c r="A230" s="12" t="s">
        <v>92</v>
      </c>
      <c r="B230" s="45" t="s">
        <v>32</v>
      </c>
      <c r="C230" s="12" t="s">
        <v>375</v>
      </c>
      <c r="D230" s="40">
        <v>59.9</v>
      </c>
      <c r="E230" s="13">
        <f t="shared" ref="E230:E245" si="61">D230*G230</f>
        <v>6.8885000000000005</v>
      </c>
      <c r="F230" s="14"/>
      <c r="G230" s="15">
        <v>0.115</v>
      </c>
      <c r="H230" s="40">
        <v>8.5500000000000007</v>
      </c>
      <c r="I230" s="40">
        <v>0</v>
      </c>
      <c r="J230" s="13">
        <f t="shared" si="47"/>
        <v>44.461500000000001</v>
      </c>
      <c r="K230" s="14"/>
      <c r="L230" s="15">
        <f t="shared" si="48"/>
        <v>0.08</v>
      </c>
      <c r="M230" s="13">
        <f t="shared" si="49"/>
        <v>4.7919999999999998</v>
      </c>
      <c r="N230" s="13">
        <f t="shared" si="50"/>
        <v>39.669499999999999</v>
      </c>
      <c r="O230" s="15">
        <f t="shared" si="51"/>
        <v>0.66226210350584302</v>
      </c>
      <c r="P230" s="16" t="str">
        <f t="shared" si="52"/>
        <v/>
      </c>
      <c r="Q230" s="41" t="str">
        <f t="shared" si="53"/>
        <v/>
      </c>
      <c r="T230" s="42"/>
      <c r="U230" s="16" t="str">
        <f t="shared" si="54"/>
        <v/>
      </c>
      <c r="V230" s="41" t="str">
        <f t="shared" si="55"/>
        <v/>
      </c>
      <c r="W230" s="17" t="str">
        <f t="shared" si="56"/>
        <v/>
      </c>
      <c r="X230" s="41" t="str">
        <f t="shared" si="57"/>
        <v/>
      </c>
      <c r="Y230" s="43" t="str">
        <f t="shared" si="58"/>
        <v/>
      </c>
      <c r="Z230" s="43" t="str">
        <f t="shared" si="59"/>
        <v/>
      </c>
      <c r="AA230" s="44" t="str">
        <f t="shared" si="60"/>
        <v>Sem custo</v>
      </c>
    </row>
    <row r="231" spans="1:27" ht="15" customHeight="1" x14ac:dyDescent="0.25">
      <c r="A231" s="12" t="s">
        <v>92</v>
      </c>
      <c r="B231" s="45" t="s">
        <v>32</v>
      </c>
      <c r="C231" s="12" t="s">
        <v>376</v>
      </c>
      <c r="D231" s="40">
        <v>29.9</v>
      </c>
      <c r="E231" s="13">
        <f t="shared" si="61"/>
        <v>3.4384999999999999</v>
      </c>
      <c r="F231" s="14"/>
      <c r="G231" s="15">
        <v>0.115</v>
      </c>
      <c r="H231" s="40">
        <v>8.5500000000000007</v>
      </c>
      <c r="I231" s="40">
        <v>0</v>
      </c>
      <c r="J231" s="13">
        <f t="shared" si="47"/>
        <v>17.911499999999997</v>
      </c>
      <c r="K231" s="14"/>
      <c r="L231" s="15">
        <f t="shared" si="48"/>
        <v>0.08</v>
      </c>
      <c r="M231" s="13">
        <f t="shared" si="49"/>
        <v>2.3919999999999999</v>
      </c>
      <c r="N231" s="13">
        <f t="shared" si="50"/>
        <v>15.519499999999997</v>
      </c>
      <c r="O231" s="15">
        <f t="shared" si="51"/>
        <v>0.51904682274247482</v>
      </c>
      <c r="P231" s="16" t="str">
        <f t="shared" si="52"/>
        <v/>
      </c>
      <c r="Q231" s="41" t="str">
        <f t="shared" si="53"/>
        <v/>
      </c>
      <c r="T231" s="42"/>
      <c r="U231" s="16" t="str">
        <f t="shared" si="54"/>
        <v/>
      </c>
      <c r="V231" s="41" t="str">
        <f t="shared" si="55"/>
        <v/>
      </c>
      <c r="W231" s="17" t="str">
        <f t="shared" si="56"/>
        <v/>
      </c>
      <c r="X231" s="41" t="str">
        <f t="shared" si="57"/>
        <v/>
      </c>
      <c r="Y231" s="43" t="str">
        <f t="shared" si="58"/>
        <v/>
      </c>
      <c r="Z231" s="43" t="str">
        <f t="shared" si="59"/>
        <v/>
      </c>
      <c r="AA231" s="44" t="str">
        <f t="shared" si="60"/>
        <v>Sem custo</v>
      </c>
    </row>
    <row r="232" spans="1:27" ht="15" customHeight="1" x14ac:dyDescent="0.25">
      <c r="A232" s="12" t="s">
        <v>377</v>
      </c>
      <c r="B232" s="40">
        <v>10.28</v>
      </c>
      <c r="C232" s="12" t="s">
        <v>378</v>
      </c>
      <c r="D232" s="40">
        <v>34.9</v>
      </c>
      <c r="E232" s="13">
        <f t="shared" si="61"/>
        <v>4.0134999999999996</v>
      </c>
      <c r="F232" s="14"/>
      <c r="G232" s="15">
        <v>0.115</v>
      </c>
      <c r="H232" s="40">
        <v>6.75</v>
      </c>
      <c r="I232" s="40">
        <v>0</v>
      </c>
      <c r="J232" s="13">
        <f t="shared" si="47"/>
        <v>24.136499999999998</v>
      </c>
      <c r="K232" s="13"/>
      <c r="L232" s="15">
        <f t="shared" si="48"/>
        <v>0.08</v>
      </c>
      <c r="M232" s="13">
        <f t="shared" si="49"/>
        <v>2.7919999999999998</v>
      </c>
      <c r="N232" s="13">
        <f t="shared" si="50"/>
        <v>11.064499999999999</v>
      </c>
      <c r="O232" s="15">
        <f t="shared" si="51"/>
        <v>0.31703438395415473</v>
      </c>
      <c r="P232" s="16">
        <f t="shared" si="52"/>
        <v>28.148760330578515</v>
      </c>
      <c r="Q232" s="41">
        <f t="shared" si="53"/>
        <v>0.20000000000000007</v>
      </c>
      <c r="T232" s="42"/>
      <c r="U232" s="16">
        <f t="shared" si="54"/>
        <v>33.778512396694218</v>
      </c>
      <c r="V232" s="41">
        <f t="shared" si="55"/>
        <v>0.16666666666666663</v>
      </c>
      <c r="W232" s="17">
        <f t="shared" si="56"/>
        <v>0.30083333333333334</v>
      </c>
      <c r="X232" s="41">
        <f t="shared" si="57"/>
        <v>0.20000000000000007</v>
      </c>
      <c r="Y232" s="43">
        <f t="shared" si="58"/>
        <v>5.6297520661157048</v>
      </c>
      <c r="Z232" s="43">
        <f t="shared" si="59"/>
        <v>28.148760330578515</v>
      </c>
      <c r="AA232" s="44" t="str">
        <f t="shared" si="60"/>
        <v>OK</v>
      </c>
    </row>
    <row r="233" spans="1:27" ht="15" customHeight="1" x14ac:dyDescent="0.25">
      <c r="A233" s="12" t="s">
        <v>379</v>
      </c>
      <c r="B233" s="40">
        <v>6.14</v>
      </c>
      <c r="C233" s="12" t="s">
        <v>380</v>
      </c>
      <c r="D233" s="40">
        <v>20.9</v>
      </c>
      <c r="E233" s="13">
        <f t="shared" si="61"/>
        <v>2.4034999999999997</v>
      </c>
      <c r="F233" s="14"/>
      <c r="G233" s="15">
        <v>0.115</v>
      </c>
      <c r="H233" s="40">
        <v>6.75</v>
      </c>
      <c r="I233" s="40">
        <v>0</v>
      </c>
      <c r="J233" s="13">
        <f t="shared" si="47"/>
        <v>11.746499999999997</v>
      </c>
      <c r="K233" s="13"/>
      <c r="L233" s="15">
        <f t="shared" si="48"/>
        <v>0.08</v>
      </c>
      <c r="M233" s="13">
        <f t="shared" si="49"/>
        <v>1.6719999999999999</v>
      </c>
      <c r="N233" s="13">
        <f t="shared" si="50"/>
        <v>3.9344999999999981</v>
      </c>
      <c r="O233" s="15">
        <f t="shared" si="51"/>
        <v>0.18825358851674634</v>
      </c>
      <c r="P233" s="16">
        <f t="shared" si="52"/>
        <v>21.305785123966945</v>
      </c>
      <c r="Q233" s="41">
        <f t="shared" si="53"/>
        <v>0.20000000000000015</v>
      </c>
      <c r="T233" s="42"/>
      <c r="U233" s="16">
        <f t="shared" si="54"/>
        <v>25.566942148760333</v>
      </c>
      <c r="V233" s="41">
        <f t="shared" si="55"/>
        <v>0.16666666666666663</v>
      </c>
      <c r="W233" s="17">
        <f t="shared" si="56"/>
        <v>0.30083333333333329</v>
      </c>
      <c r="X233" s="41">
        <f t="shared" si="57"/>
        <v>0.20000000000000015</v>
      </c>
      <c r="Y233" s="43">
        <f t="shared" si="58"/>
        <v>4.2611570247933921</v>
      </c>
      <c r="Z233" s="43">
        <f t="shared" si="59"/>
        <v>21.305785123966945</v>
      </c>
      <c r="AA233" s="44" t="str">
        <f t="shared" si="60"/>
        <v>OK</v>
      </c>
    </row>
    <row r="234" spans="1:27" ht="15" customHeight="1" x14ac:dyDescent="0.25">
      <c r="A234" s="12" t="s">
        <v>381</v>
      </c>
      <c r="B234" s="40">
        <v>10.28</v>
      </c>
      <c r="C234" s="12" t="s">
        <v>382</v>
      </c>
      <c r="D234" s="40">
        <v>34.9</v>
      </c>
      <c r="E234" s="13">
        <f t="shared" si="61"/>
        <v>4.0134999999999996</v>
      </c>
      <c r="F234" s="14"/>
      <c r="G234" s="15">
        <v>0.115</v>
      </c>
      <c r="H234" s="40">
        <v>6.75</v>
      </c>
      <c r="I234" s="40">
        <v>0</v>
      </c>
      <c r="J234" s="13">
        <f t="shared" si="47"/>
        <v>24.136499999999998</v>
      </c>
      <c r="K234" s="13"/>
      <c r="L234" s="15">
        <f t="shared" si="48"/>
        <v>0.08</v>
      </c>
      <c r="M234" s="13">
        <f t="shared" si="49"/>
        <v>2.7919999999999998</v>
      </c>
      <c r="N234" s="13">
        <f t="shared" si="50"/>
        <v>11.064499999999999</v>
      </c>
      <c r="O234" s="15">
        <f t="shared" si="51"/>
        <v>0.31703438395415473</v>
      </c>
      <c r="P234" s="16">
        <f t="shared" si="52"/>
        <v>28.148760330578515</v>
      </c>
      <c r="Q234" s="41">
        <f t="shared" si="53"/>
        <v>0.20000000000000007</v>
      </c>
      <c r="T234" s="42"/>
      <c r="U234" s="16">
        <f t="shared" si="54"/>
        <v>33.778512396694218</v>
      </c>
      <c r="V234" s="41">
        <f t="shared" si="55"/>
        <v>0.16666666666666663</v>
      </c>
      <c r="W234" s="17">
        <f t="shared" si="56"/>
        <v>0.30083333333333334</v>
      </c>
      <c r="X234" s="41">
        <f t="shared" si="57"/>
        <v>0.20000000000000007</v>
      </c>
      <c r="Y234" s="43">
        <f t="shared" si="58"/>
        <v>5.6297520661157048</v>
      </c>
      <c r="Z234" s="43">
        <f t="shared" si="59"/>
        <v>28.148760330578515</v>
      </c>
      <c r="AA234" s="44" t="str">
        <f t="shared" si="60"/>
        <v>OK</v>
      </c>
    </row>
    <row r="235" spans="1:27" ht="15" customHeight="1" x14ac:dyDescent="0.25">
      <c r="A235" s="12" t="s">
        <v>383</v>
      </c>
      <c r="B235" s="40">
        <v>10.28</v>
      </c>
      <c r="C235" s="12" t="s">
        <v>384</v>
      </c>
      <c r="D235" s="40">
        <v>34.9</v>
      </c>
      <c r="E235" s="13">
        <f t="shared" si="61"/>
        <v>4.0134999999999996</v>
      </c>
      <c r="F235" s="14"/>
      <c r="G235" s="15">
        <v>0.115</v>
      </c>
      <c r="H235" s="40">
        <v>6.75</v>
      </c>
      <c r="I235" s="40">
        <v>0</v>
      </c>
      <c r="J235" s="13">
        <f t="shared" si="47"/>
        <v>24.136499999999998</v>
      </c>
      <c r="K235" s="13"/>
      <c r="L235" s="15">
        <f t="shared" si="48"/>
        <v>0.08</v>
      </c>
      <c r="M235" s="13">
        <f t="shared" si="49"/>
        <v>2.7919999999999998</v>
      </c>
      <c r="N235" s="13">
        <f t="shared" si="50"/>
        <v>11.064499999999999</v>
      </c>
      <c r="O235" s="15">
        <f t="shared" si="51"/>
        <v>0.31703438395415473</v>
      </c>
      <c r="P235" s="16">
        <f t="shared" si="52"/>
        <v>28.148760330578515</v>
      </c>
      <c r="Q235" s="41">
        <f t="shared" si="53"/>
        <v>0.20000000000000007</v>
      </c>
      <c r="T235" s="42"/>
      <c r="U235" s="16">
        <f t="shared" si="54"/>
        <v>33.778512396694218</v>
      </c>
      <c r="V235" s="41">
        <f t="shared" si="55"/>
        <v>0.16666666666666663</v>
      </c>
      <c r="W235" s="17">
        <f t="shared" si="56"/>
        <v>0.30083333333333334</v>
      </c>
      <c r="X235" s="41">
        <f t="shared" si="57"/>
        <v>0.20000000000000007</v>
      </c>
      <c r="Y235" s="43">
        <f t="shared" si="58"/>
        <v>5.6297520661157048</v>
      </c>
      <c r="Z235" s="43">
        <f t="shared" si="59"/>
        <v>28.148760330578515</v>
      </c>
      <c r="AA235" s="44" t="str">
        <f t="shared" si="60"/>
        <v>OK</v>
      </c>
    </row>
    <row r="236" spans="1:27" ht="15" customHeight="1" x14ac:dyDescent="0.25">
      <c r="A236" s="12" t="s">
        <v>385</v>
      </c>
      <c r="B236" s="40">
        <v>7.24</v>
      </c>
      <c r="C236" s="12" t="s">
        <v>386</v>
      </c>
      <c r="D236" s="40">
        <v>24.9</v>
      </c>
      <c r="E236" s="13">
        <f t="shared" si="61"/>
        <v>2.8635000000000002</v>
      </c>
      <c r="F236" s="14"/>
      <c r="G236" s="15">
        <v>0.115</v>
      </c>
      <c r="H236" s="40">
        <v>6.65</v>
      </c>
      <c r="I236" s="40">
        <v>0</v>
      </c>
      <c r="J236" s="13">
        <f t="shared" si="47"/>
        <v>15.386499999999996</v>
      </c>
      <c r="K236" s="13"/>
      <c r="L236" s="15">
        <f t="shared" si="48"/>
        <v>0.08</v>
      </c>
      <c r="M236" s="13">
        <f t="shared" si="49"/>
        <v>1.992</v>
      </c>
      <c r="N236" s="13">
        <f t="shared" si="50"/>
        <v>6.1544999999999961</v>
      </c>
      <c r="O236" s="15">
        <f t="shared" si="51"/>
        <v>0.24716867469879503</v>
      </c>
      <c r="P236" s="16">
        <f t="shared" si="52"/>
        <v>22.958677685950416</v>
      </c>
      <c r="Q236" s="41">
        <f t="shared" si="53"/>
        <v>0.20000000000000012</v>
      </c>
      <c r="T236" s="42"/>
      <c r="U236" s="16">
        <f t="shared" si="54"/>
        <v>27.550413223140499</v>
      </c>
      <c r="V236" s="41">
        <f t="shared" si="55"/>
        <v>0.16666666666666663</v>
      </c>
      <c r="W236" s="17">
        <f t="shared" si="56"/>
        <v>0.30083333333333334</v>
      </c>
      <c r="X236" s="41">
        <f t="shared" si="57"/>
        <v>0.20000000000000012</v>
      </c>
      <c r="Y236" s="43">
        <f t="shared" si="58"/>
        <v>4.5917355371900861</v>
      </c>
      <c r="Z236" s="43">
        <f t="shared" si="59"/>
        <v>22.958677685950416</v>
      </c>
      <c r="AA236" s="44" t="str">
        <f t="shared" si="60"/>
        <v>OK</v>
      </c>
    </row>
    <row r="237" spans="1:27" ht="15" customHeight="1" x14ac:dyDescent="0.25">
      <c r="A237" s="12" t="s">
        <v>387</v>
      </c>
      <c r="B237" s="40">
        <v>6.14</v>
      </c>
      <c r="C237" s="12" t="s">
        <v>388</v>
      </c>
      <c r="D237" s="40">
        <v>20.9</v>
      </c>
      <c r="E237" s="13">
        <f t="shared" si="61"/>
        <v>2.4034999999999997</v>
      </c>
      <c r="F237" s="14"/>
      <c r="G237" s="15">
        <v>0.115</v>
      </c>
      <c r="H237" s="40">
        <v>6.75</v>
      </c>
      <c r="I237" s="40">
        <v>0</v>
      </c>
      <c r="J237" s="13">
        <f t="shared" si="47"/>
        <v>11.746499999999997</v>
      </c>
      <c r="K237" s="13"/>
      <c r="L237" s="15">
        <f t="shared" si="48"/>
        <v>0.08</v>
      </c>
      <c r="M237" s="13">
        <f t="shared" si="49"/>
        <v>1.6719999999999999</v>
      </c>
      <c r="N237" s="13">
        <f t="shared" si="50"/>
        <v>3.9344999999999981</v>
      </c>
      <c r="O237" s="15">
        <f t="shared" si="51"/>
        <v>0.18825358851674634</v>
      </c>
      <c r="P237" s="16">
        <f t="shared" si="52"/>
        <v>21.305785123966945</v>
      </c>
      <c r="Q237" s="41">
        <f t="shared" si="53"/>
        <v>0.20000000000000015</v>
      </c>
      <c r="T237" s="42"/>
      <c r="U237" s="16">
        <f t="shared" si="54"/>
        <v>25.566942148760333</v>
      </c>
      <c r="V237" s="41">
        <f t="shared" si="55"/>
        <v>0.16666666666666663</v>
      </c>
      <c r="W237" s="17">
        <f t="shared" si="56"/>
        <v>0.30083333333333329</v>
      </c>
      <c r="X237" s="41">
        <f t="shared" si="57"/>
        <v>0.20000000000000015</v>
      </c>
      <c r="Y237" s="43">
        <f t="shared" si="58"/>
        <v>4.2611570247933921</v>
      </c>
      <c r="Z237" s="43">
        <f t="shared" si="59"/>
        <v>21.305785123966945</v>
      </c>
      <c r="AA237" s="44" t="str">
        <f t="shared" si="60"/>
        <v>OK</v>
      </c>
    </row>
    <row r="238" spans="1:27" ht="15" customHeight="1" x14ac:dyDescent="0.25">
      <c r="A238" s="12" t="s">
        <v>389</v>
      </c>
      <c r="B238" s="40">
        <v>7.24</v>
      </c>
      <c r="C238" s="12" t="s">
        <v>390</v>
      </c>
      <c r="D238" s="40">
        <v>24.9</v>
      </c>
      <c r="E238" s="13">
        <f t="shared" si="61"/>
        <v>2.8635000000000002</v>
      </c>
      <c r="F238" s="14"/>
      <c r="G238" s="15">
        <v>0.115</v>
      </c>
      <c r="H238" s="40">
        <v>6.65</v>
      </c>
      <c r="I238" s="40">
        <v>0</v>
      </c>
      <c r="J238" s="13">
        <f t="shared" si="47"/>
        <v>15.386499999999996</v>
      </c>
      <c r="K238" s="13"/>
      <c r="L238" s="15">
        <f t="shared" si="48"/>
        <v>0.08</v>
      </c>
      <c r="M238" s="13">
        <f t="shared" si="49"/>
        <v>1.992</v>
      </c>
      <c r="N238" s="13">
        <f t="shared" si="50"/>
        <v>6.1544999999999961</v>
      </c>
      <c r="O238" s="15">
        <f t="shared" si="51"/>
        <v>0.24716867469879503</v>
      </c>
      <c r="P238" s="16">
        <f t="shared" si="52"/>
        <v>22.958677685950416</v>
      </c>
      <c r="Q238" s="41">
        <f t="shared" si="53"/>
        <v>0.20000000000000012</v>
      </c>
      <c r="T238" s="42"/>
      <c r="U238" s="16">
        <f t="shared" si="54"/>
        <v>27.550413223140499</v>
      </c>
      <c r="V238" s="41">
        <f t="shared" si="55"/>
        <v>0.16666666666666663</v>
      </c>
      <c r="W238" s="17">
        <f t="shared" si="56"/>
        <v>0.30083333333333334</v>
      </c>
      <c r="X238" s="41">
        <f t="shared" si="57"/>
        <v>0.20000000000000012</v>
      </c>
      <c r="Y238" s="43">
        <f t="shared" si="58"/>
        <v>4.5917355371900861</v>
      </c>
      <c r="Z238" s="43">
        <f t="shared" si="59"/>
        <v>22.958677685950416</v>
      </c>
      <c r="AA238" s="44" t="str">
        <f t="shared" si="60"/>
        <v>OK</v>
      </c>
    </row>
    <row r="239" spans="1:27" ht="15" customHeight="1" x14ac:dyDescent="0.25">
      <c r="A239" s="12" t="s">
        <v>391</v>
      </c>
      <c r="B239" s="40">
        <v>6.14</v>
      </c>
      <c r="C239" s="12" t="s">
        <v>392</v>
      </c>
      <c r="D239" s="40">
        <v>20.9</v>
      </c>
      <c r="E239" s="13">
        <f t="shared" si="61"/>
        <v>2.4034999999999997</v>
      </c>
      <c r="F239" s="14"/>
      <c r="G239" s="15">
        <v>0.115</v>
      </c>
      <c r="H239" s="40">
        <v>6.75</v>
      </c>
      <c r="I239" s="40">
        <v>0</v>
      </c>
      <c r="J239" s="13">
        <f t="shared" si="47"/>
        <v>11.746499999999997</v>
      </c>
      <c r="K239" s="13"/>
      <c r="L239" s="15">
        <f t="shared" si="48"/>
        <v>0.08</v>
      </c>
      <c r="M239" s="13">
        <f t="shared" si="49"/>
        <v>1.6719999999999999</v>
      </c>
      <c r="N239" s="13">
        <f t="shared" si="50"/>
        <v>3.9344999999999981</v>
      </c>
      <c r="O239" s="15">
        <f t="shared" si="51"/>
        <v>0.18825358851674634</v>
      </c>
      <c r="P239" s="16">
        <f t="shared" si="52"/>
        <v>21.305785123966945</v>
      </c>
      <c r="Q239" s="41">
        <f t="shared" si="53"/>
        <v>0.20000000000000015</v>
      </c>
      <c r="T239" s="42"/>
      <c r="U239" s="16">
        <f t="shared" si="54"/>
        <v>25.566942148760333</v>
      </c>
      <c r="V239" s="41">
        <f t="shared" si="55"/>
        <v>0.16666666666666663</v>
      </c>
      <c r="W239" s="17">
        <f t="shared" si="56"/>
        <v>0.30083333333333329</v>
      </c>
      <c r="X239" s="41">
        <f t="shared" si="57"/>
        <v>0.20000000000000015</v>
      </c>
      <c r="Y239" s="43">
        <f t="shared" si="58"/>
        <v>4.2611570247933921</v>
      </c>
      <c r="Z239" s="43">
        <f t="shared" si="59"/>
        <v>21.305785123966945</v>
      </c>
      <c r="AA239" s="44" t="str">
        <f t="shared" si="60"/>
        <v>OK</v>
      </c>
    </row>
    <row r="240" spans="1:27" ht="15" customHeight="1" x14ac:dyDescent="0.25">
      <c r="A240" s="12" t="s">
        <v>393</v>
      </c>
      <c r="B240" s="40">
        <v>7.24</v>
      </c>
      <c r="C240" s="12" t="s">
        <v>394</v>
      </c>
      <c r="D240" s="40">
        <v>24.9</v>
      </c>
      <c r="E240" s="13">
        <f t="shared" si="61"/>
        <v>2.8635000000000002</v>
      </c>
      <c r="F240" s="14"/>
      <c r="G240" s="15">
        <v>0.115</v>
      </c>
      <c r="H240" s="40">
        <v>6.65</v>
      </c>
      <c r="I240" s="40">
        <v>0</v>
      </c>
      <c r="J240" s="13">
        <f t="shared" si="47"/>
        <v>15.386499999999996</v>
      </c>
      <c r="K240" s="13"/>
      <c r="L240" s="15">
        <f t="shared" si="48"/>
        <v>0.08</v>
      </c>
      <c r="M240" s="13">
        <f t="shared" si="49"/>
        <v>1.992</v>
      </c>
      <c r="N240" s="13">
        <f t="shared" si="50"/>
        <v>6.1544999999999961</v>
      </c>
      <c r="O240" s="15">
        <f t="shared" si="51"/>
        <v>0.24716867469879503</v>
      </c>
      <c r="P240" s="16">
        <f t="shared" si="52"/>
        <v>22.958677685950416</v>
      </c>
      <c r="Q240" s="41">
        <f t="shared" si="53"/>
        <v>0.20000000000000012</v>
      </c>
      <c r="T240" s="42"/>
      <c r="U240" s="16">
        <f t="shared" si="54"/>
        <v>27.550413223140499</v>
      </c>
      <c r="V240" s="41">
        <f t="shared" si="55"/>
        <v>0.16666666666666663</v>
      </c>
      <c r="W240" s="17">
        <f t="shared" si="56"/>
        <v>0.30083333333333334</v>
      </c>
      <c r="X240" s="41">
        <f t="shared" si="57"/>
        <v>0.20000000000000012</v>
      </c>
      <c r="Y240" s="43">
        <f t="shared" si="58"/>
        <v>4.5917355371900861</v>
      </c>
      <c r="Z240" s="43">
        <f t="shared" si="59"/>
        <v>22.958677685950416</v>
      </c>
      <c r="AA240" s="44" t="str">
        <f t="shared" si="60"/>
        <v>OK</v>
      </c>
    </row>
    <row r="241" spans="1:27" ht="15" customHeight="1" x14ac:dyDescent="0.25">
      <c r="A241" s="12" t="s">
        <v>395</v>
      </c>
      <c r="B241" s="40">
        <v>4.37</v>
      </c>
      <c r="C241" s="12" t="s">
        <v>396</v>
      </c>
      <c r="D241" s="40">
        <v>17.899999999999999</v>
      </c>
      <c r="E241" s="13">
        <f t="shared" si="61"/>
        <v>2.0585</v>
      </c>
      <c r="F241" s="14"/>
      <c r="G241" s="15">
        <v>0.115</v>
      </c>
      <c r="H241" s="40">
        <v>8.5500000000000007</v>
      </c>
      <c r="I241" s="40">
        <v>0</v>
      </c>
      <c r="J241" s="13">
        <f t="shared" si="47"/>
        <v>7.2914999999999974</v>
      </c>
      <c r="K241" s="13"/>
      <c r="L241" s="15">
        <f t="shared" si="48"/>
        <v>0.08</v>
      </c>
      <c r="M241" s="13">
        <f t="shared" si="49"/>
        <v>1.4319999999999999</v>
      </c>
      <c r="N241" s="13">
        <f t="shared" si="50"/>
        <v>1.4894999999999974</v>
      </c>
      <c r="O241" s="15">
        <f t="shared" si="51"/>
        <v>8.3212290502793163E-2</v>
      </c>
      <c r="P241" s="16">
        <f t="shared" si="52"/>
        <v>21.355371900826448</v>
      </c>
      <c r="Q241" s="41">
        <f t="shared" si="53"/>
        <v>0.19999999999999998</v>
      </c>
      <c r="T241" s="42"/>
      <c r="U241" s="16">
        <f t="shared" si="54"/>
        <v>25.626446280991736</v>
      </c>
      <c r="V241" s="41">
        <f t="shared" si="55"/>
        <v>0.16666666666666663</v>
      </c>
      <c r="W241" s="17">
        <f t="shared" si="56"/>
        <v>0.30083333333333334</v>
      </c>
      <c r="X241" s="41">
        <f t="shared" si="57"/>
        <v>0.19999999999999998</v>
      </c>
      <c r="Y241" s="43">
        <f t="shared" si="58"/>
        <v>4.2710743801652891</v>
      </c>
      <c r="Z241" s="43">
        <f t="shared" si="59"/>
        <v>21.355371900826448</v>
      </c>
      <c r="AA241" s="44" t="str">
        <f t="shared" si="60"/>
        <v>OK</v>
      </c>
    </row>
    <row r="242" spans="1:27" ht="15" customHeight="1" x14ac:dyDescent="0.25">
      <c r="A242" s="12" t="s">
        <v>397</v>
      </c>
      <c r="B242" s="40">
        <v>4.37</v>
      </c>
      <c r="C242" s="12" t="s">
        <v>398</v>
      </c>
      <c r="D242" s="40">
        <v>17.899999999999999</v>
      </c>
      <c r="E242" s="13">
        <f t="shared" si="61"/>
        <v>2.0585</v>
      </c>
      <c r="F242" s="14"/>
      <c r="G242" s="15">
        <v>0.115</v>
      </c>
      <c r="H242" s="40">
        <v>8.5500000000000007</v>
      </c>
      <c r="I242" s="40">
        <v>0</v>
      </c>
      <c r="J242" s="13">
        <f t="shared" si="47"/>
        <v>7.2914999999999974</v>
      </c>
      <c r="K242" s="13"/>
      <c r="L242" s="15">
        <f t="shared" si="48"/>
        <v>0.08</v>
      </c>
      <c r="M242" s="13">
        <f t="shared" si="49"/>
        <v>1.4319999999999999</v>
      </c>
      <c r="N242" s="13">
        <f t="shared" si="50"/>
        <v>1.4894999999999974</v>
      </c>
      <c r="O242" s="15">
        <f t="shared" si="51"/>
        <v>8.3212290502793163E-2</v>
      </c>
      <c r="P242" s="16">
        <f t="shared" si="52"/>
        <v>21.355371900826448</v>
      </c>
      <c r="Q242" s="41">
        <f t="shared" si="53"/>
        <v>0.19999999999999998</v>
      </c>
      <c r="T242" s="42"/>
      <c r="U242" s="16">
        <f t="shared" si="54"/>
        <v>25.626446280991736</v>
      </c>
      <c r="V242" s="41">
        <f t="shared" si="55"/>
        <v>0.16666666666666663</v>
      </c>
      <c r="W242" s="17">
        <f t="shared" si="56"/>
        <v>0.30083333333333334</v>
      </c>
      <c r="X242" s="41">
        <f t="shared" si="57"/>
        <v>0.19999999999999998</v>
      </c>
      <c r="Y242" s="43">
        <f t="shared" si="58"/>
        <v>4.2710743801652891</v>
      </c>
      <c r="Z242" s="43">
        <f t="shared" si="59"/>
        <v>21.355371900826448</v>
      </c>
      <c r="AA242" s="44" t="str">
        <f t="shared" si="60"/>
        <v>OK</v>
      </c>
    </row>
    <row r="243" spans="1:27" ht="15" customHeight="1" x14ac:dyDescent="0.25">
      <c r="A243" s="12" t="s">
        <v>399</v>
      </c>
      <c r="B243" s="40">
        <v>4.37</v>
      </c>
      <c r="C243" s="12" t="s">
        <v>400</v>
      </c>
      <c r="D243" s="40">
        <v>17.899999999999999</v>
      </c>
      <c r="E243" s="13">
        <f t="shared" si="61"/>
        <v>2.0585</v>
      </c>
      <c r="F243" s="14"/>
      <c r="G243" s="15">
        <v>0.115</v>
      </c>
      <c r="H243" s="40">
        <v>8.5500000000000007</v>
      </c>
      <c r="I243" s="40">
        <v>0</v>
      </c>
      <c r="J243" s="13">
        <f t="shared" si="47"/>
        <v>7.2914999999999974</v>
      </c>
      <c r="K243" s="13"/>
      <c r="L243" s="15">
        <f t="shared" si="48"/>
        <v>0.08</v>
      </c>
      <c r="M243" s="13">
        <f t="shared" si="49"/>
        <v>1.4319999999999999</v>
      </c>
      <c r="N243" s="13">
        <f t="shared" si="50"/>
        <v>1.4894999999999974</v>
      </c>
      <c r="O243" s="15">
        <f t="shared" si="51"/>
        <v>8.3212290502793163E-2</v>
      </c>
      <c r="P243" s="16">
        <f t="shared" si="52"/>
        <v>21.355371900826448</v>
      </c>
      <c r="Q243" s="41">
        <f t="shared" si="53"/>
        <v>0.19999999999999998</v>
      </c>
      <c r="T243" s="42"/>
      <c r="U243" s="16">
        <f t="shared" si="54"/>
        <v>25.626446280991736</v>
      </c>
      <c r="V243" s="41">
        <f t="shared" si="55"/>
        <v>0.16666666666666663</v>
      </c>
      <c r="W243" s="17">
        <f t="shared" si="56"/>
        <v>0.30083333333333334</v>
      </c>
      <c r="X243" s="41">
        <f t="shared" si="57"/>
        <v>0.19999999999999998</v>
      </c>
      <c r="Y243" s="43">
        <f t="shared" si="58"/>
        <v>4.2710743801652891</v>
      </c>
      <c r="Z243" s="43">
        <f t="shared" si="59"/>
        <v>21.355371900826448</v>
      </c>
      <c r="AA243" s="44" t="str">
        <f t="shared" si="60"/>
        <v>OK</v>
      </c>
    </row>
    <row r="244" spans="1:27" ht="15" customHeight="1" x14ac:dyDescent="0.25">
      <c r="A244" s="12" t="s">
        <v>401</v>
      </c>
      <c r="B244" s="40">
        <v>11.4</v>
      </c>
      <c r="C244" s="12" t="s">
        <v>402</v>
      </c>
      <c r="D244" s="40">
        <v>29.9</v>
      </c>
      <c r="E244" s="13">
        <f t="shared" si="61"/>
        <v>3.4384999999999999</v>
      </c>
      <c r="F244" s="14"/>
      <c r="G244" s="15">
        <v>0.115</v>
      </c>
      <c r="H244" s="40">
        <v>6.65</v>
      </c>
      <c r="I244" s="40">
        <v>0</v>
      </c>
      <c r="J244" s="13">
        <f t="shared" si="47"/>
        <v>19.811499999999995</v>
      </c>
      <c r="K244" s="13"/>
      <c r="L244" s="15">
        <f t="shared" si="48"/>
        <v>0.08</v>
      </c>
      <c r="M244" s="13">
        <f t="shared" si="49"/>
        <v>2.3919999999999999</v>
      </c>
      <c r="N244" s="13">
        <f t="shared" si="50"/>
        <v>6.0194999999999954</v>
      </c>
      <c r="O244" s="15">
        <f t="shared" si="51"/>
        <v>0.20132107023411358</v>
      </c>
      <c r="P244" s="16">
        <f t="shared" si="52"/>
        <v>29.834710743801654</v>
      </c>
      <c r="Q244" s="41">
        <f t="shared" si="53"/>
        <v>0.19999999999999996</v>
      </c>
      <c r="T244" s="42"/>
      <c r="U244" s="16">
        <f t="shared" si="54"/>
        <v>35.801652892561982</v>
      </c>
      <c r="V244" s="41">
        <f t="shared" si="55"/>
        <v>0.16666666666666663</v>
      </c>
      <c r="W244" s="17">
        <f t="shared" si="56"/>
        <v>0.3008333333333334</v>
      </c>
      <c r="X244" s="41">
        <f t="shared" si="57"/>
        <v>0.19999999999999996</v>
      </c>
      <c r="Y244" s="43">
        <f t="shared" si="58"/>
        <v>5.9669421487603298</v>
      </c>
      <c r="Z244" s="43">
        <f t="shared" si="59"/>
        <v>29.834710743801654</v>
      </c>
      <c r="AA244" s="44" t="str">
        <f t="shared" si="60"/>
        <v>OK</v>
      </c>
    </row>
    <row r="245" spans="1:27" ht="15" customHeight="1" x14ac:dyDescent="0.25">
      <c r="A245" s="12" t="s">
        <v>83</v>
      </c>
      <c r="B245" s="40">
        <v>5.8</v>
      </c>
      <c r="C245" s="12" t="s">
        <v>403</v>
      </c>
      <c r="D245" s="40">
        <v>19.989999999999998</v>
      </c>
      <c r="E245" s="13">
        <f t="shared" si="61"/>
        <v>2.2988499999999998</v>
      </c>
      <c r="F245" s="14"/>
      <c r="G245" s="15">
        <v>0.115</v>
      </c>
      <c r="H245" s="40">
        <v>8.5500000000000007</v>
      </c>
      <c r="I245" s="40">
        <v>0</v>
      </c>
      <c r="J245" s="13">
        <f t="shared" si="47"/>
        <v>9.1411499999999997</v>
      </c>
      <c r="K245" s="13"/>
      <c r="L245" s="15">
        <f t="shared" si="48"/>
        <v>0.08</v>
      </c>
      <c r="M245" s="13">
        <f t="shared" si="49"/>
        <v>1.5992</v>
      </c>
      <c r="N245" s="13">
        <f t="shared" si="50"/>
        <v>1.7419499999999999</v>
      </c>
      <c r="O245" s="15">
        <f t="shared" si="51"/>
        <v>8.7141070535267637E-2</v>
      </c>
      <c r="P245" s="16">
        <f t="shared" si="52"/>
        <v>23.719008264462811</v>
      </c>
      <c r="Q245" s="41">
        <f t="shared" si="53"/>
        <v>0.19999999999999998</v>
      </c>
      <c r="T245" s="42"/>
      <c r="U245" s="16">
        <f t="shared" si="54"/>
        <v>28.462809917355372</v>
      </c>
      <c r="V245" s="41">
        <f t="shared" si="55"/>
        <v>0.16666666666666663</v>
      </c>
      <c r="W245" s="17">
        <f t="shared" si="56"/>
        <v>0.30083333333333334</v>
      </c>
      <c r="X245" s="41">
        <f t="shared" si="57"/>
        <v>0.19999999999999998</v>
      </c>
      <c r="Y245" s="43">
        <f t="shared" si="58"/>
        <v>4.7438016528925617</v>
      </c>
      <c r="Z245" s="43">
        <f t="shared" si="59"/>
        <v>23.719008264462811</v>
      </c>
      <c r="AA245" s="44" t="str">
        <f t="shared" si="60"/>
        <v>OK</v>
      </c>
    </row>
    <row r="246" spans="1:27" ht="15" customHeight="1" x14ac:dyDescent="0.25">
      <c r="A246" s="12" t="s">
        <v>83</v>
      </c>
      <c r="B246" s="40">
        <v>5.8</v>
      </c>
      <c r="C246" s="12" t="s">
        <v>404</v>
      </c>
      <c r="D246" s="40">
        <v>19.989999999999998</v>
      </c>
      <c r="E246" s="14"/>
      <c r="F246" s="13">
        <f>D246*G246</f>
        <v>3.2983500000000001</v>
      </c>
      <c r="G246" s="15">
        <v>0.16500000000000001</v>
      </c>
      <c r="H246" s="40">
        <v>8.5500000000000007</v>
      </c>
      <c r="I246" s="40">
        <v>0</v>
      </c>
      <c r="J246" s="13">
        <f t="shared" si="47"/>
        <v>8.1416499999999985</v>
      </c>
      <c r="K246" s="13"/>
      <c r="L246" s="15">
        <f t="shared" si="48"/>
        <v>0.08</v>
      </c>
      <c r="M246" s="13">
        <f t="shared" si="49"/>
        <v>1.5992</v>
      </c>
      <c r="N246" s="13">
        <f t="shared" si="50"/>
        <v>0.74244999999999872</v>
      </c>
      <c r="O246" s="15">
        <f t="shared" si="51"/>
        <v>3.7141070535267572E-2</v>
      </c>
      <c r="P246" s="16">
        <f t="shared" si="52"/>
        <v>25.855855855855861</v>
      </c>
      <c r="Q246" s="41">
        <f t="shared" si="53"/>
        <v>0.20000000000000004</v>
      </c>
      <c r="T246" s="42"/>
      <c r="U246" s="16">
        <f t="shared" si="54"/>
        <v>31.027027027027032</v>
      </c>
      <c r="V246" s="41">
        <f t="shared" si="55"/>
        <v>0.16666666666666663</v>
      </c>
      <c r="W246" s="17">
        <f t="shared" si="56"/>
        <v>0.29250000000000004</v>
      </c>
      <c r="X246" s="41">
        <f t="shared" si="57"/>
        <v>0.20000000000000004</v>
      </c>
      <c r="Y246" s="43">
        <f t="shared" si="58"/>
        <v>5.1711711711711734</v>
      </c>
      <c r="Z246" s="43">
        <f t="shared" si="59"/>
        <v>25.855855855855861</v>
      </c>
      <c r="AA246" s="44" t="str">
        <f t="shared" si="60"/>
        <v>OK</v>
      </c>
    </row>
    <row r="247" spans="1:27" ht="15" customHeight="1" x14ac:dyDescent="0.25">
      <c r="A247" s="12" t="s">
        <v>405</v>
      </c>
      <c r="B247" s="40">
        <v>18</v>
      </c>
      <c r="C247" s="12" t="s">
        <v>406</v>
      </c>
      <c r="D247" s="40">
        <v>43.9</v>
      </c>
      <c r="E247" s="13">
        <f t="shared" ref="E247:E275" si="62">D247*G247</f>
        <v>5.0484999999999998</v>
      </c>
      <c r="F247" s="14"/>
      <c r="G247" s="15">
        <v>0.115</v>
      </c>
      <c r="H247" s="40">
        <v>7.95</v>
      </c>
      <c r="I247" s="40">
        <v>0</v>
      </c>
      <c r="J247" s="13">
        <f t="shared" si="47"/>
        <v>30.901500000000002</v>
      </c>
      <c r="K247" s="13"/>
      <c r="L247" s="15">
        <f t="shared" si="48"/>
        <v>0.08</v>
      </c>
      <c r="M247" s="13">
        <f t="shared" si="49"/>
        <v>3.512</v>
      </c>
      <c r="N247" s="13">
        <f t="shared" si="50"/>
        <v>9.3895000000000017</v>
      </c>
      <c r="O247" s="15">
        <f t="shared" si="51"/>
        <v>0.21388382687927113</v>
      </c>
      <c r="P247" s="16">
        <f t="shared" si="52"/>
        <v>42.892561983471076</v>
      </c>
      <c r="Q247" s="41">
        <f t="shared" si="53"/>
        <v>0.2</v>
      </c>
      <c r="T247" s="42"/>
      <c r="U247" s="16">
        <f t="shared" si="54"/>
        <v>51.471074380165291</v>
      </c>
      <c r="V247" s="41">
        <f t="shared" si="55"/>
        <v>0.16666666666666663</v>
      </c>
      <c r="W247" s="17">
        <f t="shared" si="56"/>
        <v>0.30083333333333329</v>
      </c>
      <c r="X247" s="41">
        <f t="shared" si="57"/>
        <v>0.2</v>
      </c>
      <c r="Y247" s="43">
        <f t="shared" si="58"/>
        <v>8.5785123966942152</v>
      </c>
      <c r="Z247" s="43">
        <f t="shared" si="59"/>
        <v>42.892561983471076</v>
      </c>
      <c r="AA247" s="44" t="str">
        <f t="shared" si="60"/>
        <v>OK</v>
      </c>
    </row>
    <row r="248" spans="1:27" ht="15" customHeight="1" x14ac:dyDescent="0.25">
      <c r="A248" s="12" t="s">
        <v>407</v>
      </c>
      <c r="B248" s="40">
        <v>44.85</v>
      </c>
      <c r="C248" s="12" t="s">
        <v>408</v>
      </c>
      <c r="D248" s="40">
        <v>78.900000000000006</v>
      </c>
      <c r="E248" s="13">
        <f t="shared" si="62"/>
        <v>9.073500000000001</v>
      </c>
      <c r="F248" s="14"/>
      <c r="G248" s="15">
        <v>0.115</v>
      </c>
      <c r="H248" s="40">
        <v>8.5500000000000007</v>
      </c>
      <c r="I248" s="40">
        <v>0</v>
      </c>
      <c r="J248" s="13">
        <f t="shared" si="47"/>
        <v>61.276500000000013</v>
      </c>
      <c r="K248" s="13"/>
      <c r="L248" s="15">
        <f t="shared" si="48"/>
        <v>0.08</v>
      </c>
      <c r="M248" s="13">
        <f t="shared" si="49"/>
        <v>6.3120000000000003</v>
      </c>
      <c r="N248" s="13">
        <f t="shared" si="50"/>
        <v>10.11450000000001</v>
      </c>
      <c r="O248" s="15">
        <f t="shared" si="51"/>
        <v>0.12819391634981001</v>
      </c>
      <c r="P248" s="16">
        <f t="shared" si="52"/>
        <v>79</v>
      </c>
      <c r="Q248" s="41">
        <f t="shared" si="53"/>
        <v>0.23727848101265811</v>
      </c>
      <c r="T248" s="42"/>
      <c r="U248" s="16">
        <f t="shared" si="54"/>
        <v>94.8</v>
      </c>
      <c r="V248" s="41">
        <f t="shared" si="55"/>
        <v>0.16666666666666663</v>
      </c>
      <c r="W248" s="17">
        <f t="shared" si="56"/>
        <v>0.3318987341772151</v>
      </c>
      <c r="X248" s="41">
        <f t="shared" si="57"/>
        <v>0.23727848101265811</v>
      </c>
      <c r="Y248" s="43">
        <f t="shared" si="58"/>
        <v>18.74499999999999</v>
      </c>
      <c r="Z248" s="43">
        <f t="shared" si="59"/>
        <v>79</v>
      </c>
      <c r="AA248" s="44" t="str">
        <f t="shared" si="60"/>
        <v>⚠ Subiu p/ frete (I=0)</v>
      </c>
    </row>
    <row r="249" spans="1:27" ht="15" customHeight="1" x14ac:dyDescent="0.25">
      <c r="A249" s="12" t="s">
        <v>409</v>
      </c>
      <c r="B249" s="40">
        <v>7.6</v>
      </c>
      <c r="C249" s="12" t="s">
        <v>410</v>
      </c>
      <c r="D249" s="40">
        <v>22.9</v>
      </c>
      <c r="E249" s="13">
        <f t="shared" si="62"/>
        <v>2.6334999999999997</v>
      </c>
      <c r="F249" s="14"/>
      <c r="G249" s="15">
        <v>0.115</v>
      </c>
      <c r="H249" s="40">
        <v>6.65</v>
      </c>
      <c r="I249" s="40">
        <v>0</v>
      </c>
      <c r="J249" s="13">
        <f t="shared" si="47"/>
        <v>13.6165</v>
      </c>
      <c r="K249" s="13"/>
      <c r="L249" s="15">
        <f t="shared" si="48"/>
        <v>0.08</v>
      </c>
      <c r="M249" s="13">
        <f t="shared" si="49"/>
        <v>1.8319999999999999</v>
      </c>
      <c r="N249" s="13">
        <f t="shared" si="50"/>
        <v>4.1845000000000008</v>
      </c>
      <c r="O249" s="15">
        <f t="shared" si="51"/>
        <v>0.18272925764192144</v>
      </c>
      <c r="P249" s="16">
        <f t="shared" si="52"/>
        <v>23.553719008264462</v>
      </c>
      <c r="Q249" s="41">
        <f t="shared" si="53"/>
        <v>0.2</v>
      </c>
      <c r="T249" s="42"/>
      <c r="U249" s="16">
        <f t="shared" si="54"/>
        <v>28.264462809917354</v>
      </c>
      <c r="V249" s="41">
        <f t="shared" si="55"/>
        <v>0.16666666666666663</v>
      </c>
      <c r="W249" s="17">
        <f t="shared" si="56"/>
        <v>0.30083333333333334</v>
      </c>
      <c r="X249" s="41">
        <f t="shared" si="57"/>
        <v>0.2</v>
      </c>
      <c r="Y249" s="43">
        <f t="shared" si="58"/>
        <v>4.7107438016528924</v>
      </c>
      <c r="Z249" s="43">
        <f t="shared" si="59"/>
        <v>23.553719008264462</v>
      </c>
      <c r="AA249" s="44" t="str">
        <f t="shared" si="60"/>
        <v>OK</v>
      </c>
    </row>
    <row r="250" spans="1:27" ht="15" customHeight="1" x14ac:dyDescent="0.25">
      <c r="A250" s="12" t="s">
        <v>411</v>
      </c>
      <c r="B250" s="40">
        <v>7.6</v>
      </c>
      <c r="C250" s="12" t="s">
        <v>412</v>
      </c>
      <c r="D250" s="40">
        <v>22.9</v>
      </c>
      <c r="E250" s="13">
        <f t="shared" si="62"/>
        <v>2.6334999999999997</v>
      </c>
      <c r="F250" s="14"/>
      <c r="G250" s="15">
        <v>0.115</v>
      </c>
      <c r="H250" s="40">
        <v>6.75</v>
      </c>
      <c r="I250" s="40">
        <v>0</v>
      </c>
      <c r="J250" s="13">
        <f t="shared" si="47"/>
        <v>13.516500000000001</v>
      </c>
      <c r="K250" s="13"/>
      <c r="L250" s="15">
        <f t="shared" si="48"/>
        <v>0.08</v>
      </c>
      <c r="M250" s="13">
        <f t="shared" si="49"/>
        <v>1.8319999999999999</v>
      </c>
      <c r="N250" s="13">
        <f t="shared" si="50"/>
        <v>4.0845000000000011</v>
      </c>
      <c r="O250" s="15">
        <f t="shared" si="51"/>
        <v>0.17836244541484722</v>
      </c>
      <c r="P250" s="16">
        <f t="shared" si="52"/>
        <v>23.719008264462811</v>
      </c>
      <c r="Q250" s="41">
        <f t="shared" si="53"/>
        <v>0.2</v>
      </c>
      <c r="T250" s="42"/>
      <c r="U250" s="16">
        <f t="shared" si="54"/>
        <v>28.462809917355372</v>
      </c>
      <c r="V250" s="41">
        <f t="shared" si="55"/>
        <v>0.16666666666666663</v>
      </c>
      <c r="W250" s="17">
        <f t="shared" si="56"/>
        <v>0.30083333333333323</v>
      </c>
      <c r="X250" s="41">
        <f t="shared" si="57"/>
        <v>0.2</v>
      </c>
      <c r="Y250" s="43">
        <f t="shared" si="58"/>
        <v>4.7438016528925626</v>
      </c>
      <c r="Z250" s="43">
        <f t="shared" si="59"/>
        <v>23.719008264462811</v>
      </c>
      <c r="AA250" s="44" t="str">
        <f t="shared" si="60"/>
        <v>OK</v>
      </c>
    </row>
    <row r="251" spans="1:27" ht="15" customHeight="1" x14ac:dyDescent="0.25">
      <c r="A251" s="12" t="s">
        <v>413</v>
      </c>
      <c r="B251" s="40">
        <v>20.190000000000001</v>
      </c>
      <c r="C251" s="12" t="s">
        <v>414</v>
      </c>
      <c r="D251" s="40">
        <v>44.9</v>
      </c>
      <c r="E251" s="13">
        <f t="shared" si="62"/>
        <v>5.3879999999999999</v>
      </c>
      <c r="F251" s="14"/>
      <c r="G251" s="15">
        <v>0.12</v>
      </c>
      <c r="H251" s="40">
        <v>6.75</v>
      </c>
      <c r="I251" s="40">
        <v>0</v>
      </c>
      <c r="J251" s="13">
        <f t="shared" si="47"/>
        <v>32.762</v>
      </c>
      <c r="K251" s="13"/>
      <c r="L251" s="15">
        <f t="shared" si="48"/>
        <v>0.08</v>
      </c>
      <c r="M251" s="13">
        <f t="shared" si="49"/>
        <v>3.5920000000000001</v>
      </c>
      <c r="N251" s="13">
        <f t="shared" si="50"/>
        <v>8.9799999999999986</v>
      </c>
      <c r="O251" s="15">
        <f t="shared" si="51"/>
        <v>0.19999999999999998</v>
      </c>
      <c r="P251" s="16">
        <f t="shared" si="52"/>
        <v>44.9</v>
      </c>
      <c r="Q251" s="41">
        <f t="shared" si="53"/>
        <v>0.2</v>
      </c>
      <c r="T251" s="42"/>
      <c r="U251" s="16">
        <f t="shared" si="54"/>
        <v>53.879999999999995</v>
      </c>
      <c r="V251" s="41">
        <f t="shared" si="55"/>
        <v>0.16666666666666663</v>
      </c>
      <c r="W251" s="17">
        <f t="shared" si="56"/>
        <v>0.29999999999999988</v>
      </c>
      <c r="X251" s="41">
        <f t="shared" si="57"/>
        <v>0.2</v>
      </c>
      <c r="Y251" s="43">
        <f t="shared" si="58"/>
        <v>8.98</v>
      </c>
      <c r="Z251" s="43">
        <f t="shared" si="59"/>
        <v>44.9</v>
      </c>
      <c r="AA251" s="44" t="str">
        <f t="shared" si="60"/>
        <v>OK</v>
      </c>
    </row>
    <row r="252" spans="1:27" ht="15" customHeight="1" x14ac:dyDescent="0.25">
      <c r="A252" s="12" t="s">
        <v>415</v>
      </c>
      <c r="B252" s="40">
        <v>44.85</v>
      </c>
      <c r="C252" s="12" t="s">
        <v>416</v>
      </c>
      <c r="D252" s="40">
        <v>78.900000000000006</v>
      </c>
      <c r="E252" s="13">
        <f t="shared" si="62"/>
        <v>9.073500000000001</v>
      </c>
      <c r="F252" s="14"/>
      <c r="G252" s="15">
        <v>0.115</v>
      </c>
      <c r="H252" s="40">
        <v>8.5500000000000007</v>
      </c>
      <c r="I252" s="40">
        <v>0</v>
      </c>
      <c r="J252" s="13">
        <f t="shared" si="47"/>
        <v>61.276500000000013</v>
      </c>
      <c r="K252" s="13"/>
      <c r="L252" s="15">
        <f t="shared" si="48"/>
        <v>0.08</v>
      </c>
      <c r="M252" s="13">
        <f t="shared" si="49"/>
        <v>6.3120000000000003</v>
      </c>
      <c r="N252" s="13">
        <f t="shared" si="50"/>
        <v>10.11450000000001</v>
      </c>
      <c r="O252" s="15">
        <f t="shared" si="51"/>
        <v>0.12819391634981001</v>
      </c>
      <c r="P252" s="16">
        <f t="shared" si="52"/>
        <v>79</v>
      </c>
      <c r="Q252" s="41">
        <f t="shared" si="53"/>
        <v>0.23727848101265811</v>
      </c>
      <c r="T252" s="42"/>
      <c r="U252" s="16">
        <f t="shared" si="54"/>
        <v>94.8</v>
      </c>
      <c r="V252" s="41">
        <f t="shared" si="55"/>
        <v>0.16666666666666663</v>
      </c>
      <c r="W252" s="17">
        <f t="shared" si="56"/>
        <v>0.3318987341772151</v>
      </c>
      <c r="X252" s="41">
        <f t="shared" si="57"/>
        <v>0.23727848101265811</v>
      </c>
      <c r="Y252" s="43">
        <f t="shared" si="58"/>
        <v>18.74499999999999</v>
      </c>
      <c r="Z252" s="43">
        <f t="shared" si="59"/>
        <v>79</v>
      </c>
      <c r="AA252" s="44" t="str">
        <f t="shared" si="60"/>
        <v>⚠ Subiu p/ frete (I=0)</v>
      </c>
    </row>
    <row r="253" spans="1:27" ht="15" customHeight="1" x14ac:dyDescent="0.25">
      <c r="A253" s="12" t="s">
        <v>417</v>
      </c>
      <c r="B253" s="40">
        <v>44.85</v>
      </c>
      <c r="C253" s="12" t="s">
        <v>418</v>
      </c>
      <c r="D253" s="40">
        <v>78.900000000000006</v>
      </c>
      <c r="E253" s="13">
        <f t="shared" si="62"/>
        <v>9.073500000000001</v>
      </c>
      <c r="F253" s="14"/>
      <c r="G253" s="15">
        <v>0.115</v>
      </c>
      <c r="H253" s="40">
        <v>8.5500000000000007</v>
      </c>
      <c r="I253" s="40">
        <v>0</v>
      </c>
      <c r="J253" s="13">
        <f t="shared" si="47"/>
        <v>61.276500000000013</v>
      </c>
      <c r="K253" s="13"/>
      <c r="L253" s="15">
        <f t="shared" si="48"/>
        <v>0.08</v>
      </c>
      <c r="M253" s="13">
        <f t="shared" si="49"/>
        <v>6.3120000000000003</v>
      </c>
      <c r="N253" s="13">
        <f t="shared" si="50"/>
        <v>10.11450000000001</v>
      </c>
      <c r="O253" s="15">
        <f t="shared" si="51"/>
        <v>0.12819391634981001</v>
      </c>
      <c r="P253" s="16">
        <f t="shared" si="52"/>
        <v>79</v>
      </c>
      <c r="Q253" s="41">
        <f t="shared" si="53"/>
        <v>0.23727848101265811</v>
      </c>
      <c r="T253" s="42"/>
      <c r="U253" s="16">
        <f t="shared" si="54"/>
        <v>94.8</v>
      </c>
      <c r="V253" s="41">
        <f t="shared" si="55"/>
        <v>0.16666666666666663</v>
      </c>
      <c r="W253" s="17">
        <f t="shared" si="56"/>
        <v>0.3318987341772151</v>
      </c>
      <c r="X253" s="41">
        <f t="shared" si="57"/>
        <v>0.23727848101265811</v>
      </c>
      <c r="Y253" s="43">
        <f t="shared" si="58"/>
        <v>18.74499999999999</v>
      </c>
      <c r="Z253" s="43">
        <f t="shared" si="59"/>
        <v>79</v>
      </c>
      <c r="AA253" s="44" t="str">
        <f t="shared" si="60"/>
        <v>⚠ Subiu p/ frete (I=0)</v>
      </c>
    </row>
    <row r="254" spans="1:27" ht="15" customHeight="1" x14ac:dyDescent="0.25">
      <c r="A254" s="12" t="s">
        <v>419</v>
      </c>
      <c r="B254" s="40">
        <v>15.05</v>
      </c>
      <c r="C254" s="12" t="s">
        <v>420</v>
      </c>
      <c r="D254" s="40">
        <v>38.5</v>
      </c>
      <c r="E254" s="13">
        <f t="shared" si="62"/>
        <v>4.4275000000000002</v>
      </c>
      <c r="F254" s="14"/>
      <c r="G254" s="15">
        <v>0.115</v>
      </c>
      <c r="H254" s="40">
        <v>6.95</v>
      </c>
      <c r="I254" s="40">
        <v>0</v>
      </c>
      <c r="J254" s="13">
        <f t="shared" si="47"/>
        <v>27.122499999999999</v>
      </c>
      <c r="K254" s="13"/>
      <c r="L254" s="15">
        <f t="shared" si="48"/>
        <v>0.08</v>
      </c>
      <c r="M254" s="13">
        <f t="shared" si="49"/>
        <v>3.08</v>
      </c>
      <c r="N254" s="13">
        <f t="shared" si="50"/>
        <v>8.9924999999999979</v>
      </c>
      <c r="O254" s="15">
        <f t="shared" si="51"/>
        <v>0.23357142857142851</v>
      </c>
      <c r="P254" s="16">
        <f t="shared" si="52"/>
        <v>36.363636363636367</v>
      </c>
      <c r="Q254" s="41">
        <f t="shared" si="53"/>
        <v>0.20000000000000009</v>
      </c>
      <c r="T254" s="42"/>
      <c r="U254" s="16">
        <f t="shared" si="54"/>
        <v>43.63636363636364</v>
      </c>
      <c r="V254" s="41">
        <f t="shared" si="55"/>
        <v>0.16666666666666663</v>
      </c>
      <c r="W254" s="17">
        <f t="shared" si="56"/>
        <v>0.3008333333333334</v>
      </c>
      <c r="X254" s="41">
        <f t="shared" si="57"/>
        <v>0.20000000000000009</v>
      </c>
      <c r="Y254" s="43">
        <f t="shared" si="58"/>
        <v>7.2727272727272769</v>
      </c>
      <c r="Z254" s="43">
        <f t="shared" si="59"/>
        <v>36.363636363636367</v>
      </c>
      <c r="AA254" s="44" t="str">
        <f t="shared" si="60"/>
        <v>OK</v>
      </c>
    </row>
    <row r="255" spans="1:27" ht="15" customHeight="1" x14ac:dyDescent="0.25">
      <c r="A255" s="12" t="s">
        <v>421</v>
      </c>
      <c r="B255" s="40">
        <v>44.85</v>
      </c>
      <c r="C255" s="12" t="s">
        <v>422</v>
      </c>
      <c r="D255" s="40">
        <v>78.900000000000006</v>
      </c>
      <c r="E255" s="13">
        <f t="shared" si="62"/>
        <v>9.073500000000001</v>
      </c>
      <c r="F255" s="14"/>
      <c r="G255" s="15">
        <v>0.115</v>
      </c>
      <c r="H255" s="40">
        <v>8.5500000000000007</v>
      </c>
      <c r="I255" s="40">
        <v>0</v>
      </c>
      <c r="J255" s="13">
        <f t="shared" si="47"/>
        <v>61.276500000000013</v>
      </c>
      <c r="K255" s="13"/>
      <c r="L255" s="15">
        <f t="shared" si="48"/>
        <v>0.08</v>
      </c>
      <c r="M255" s="13">
        <f t="shared" si="49"/>
        <v>6.3120000000000003</v>
      </c>
      <c r="N255" s="13">
        <f t="shared" si="50"/>
        <v>10.11450000000001</v>
      </c>
      <c r="O255" s="15">
        <f t="shared" si="51"/>
        <v>0.12819391634981001</v>
      </c>
      <c r="P255" s="16">
        <f t="shared" si="52"/>
        <v>79</v>
      </c>
      <c r="Q255" s="41">
        <f t="shared" si="53"/>
        <v>0.23727848101265811</v>
      </c>
      <c r="T255" s="42"/>
      <c r="U255" s="16">
        <f t="shared" si="54"/>
        <v>94.8</v>
      </c>
      <c r="V255" s="41">
        <f t="shared" si="55"/>
        <v>0.16666666666666663</v>
      </c>
      <c r="W255" s="17">
        <f t="shared" si="56"/>
        <v>0.3318987341772151</v>
      </c>
      <c r="X255" s="41">
        <f t="shared" si="57"/>
        <v>0.23727848101265811</v>
      </c>
      <c r="Y255" s="43">
        <f t="shared" si="58"/>
        <v>18.74499999999999</v>
      </c>
      <c r="Z255" s="43">
        <f t="shared" si="59"/>
        <v>79</v>
      </c>
      <c r="AA255" s="44" t="str">
        <f t="shared" si="60"/>
        <v>⚠ Subiu p/ frete (I=0)</v>
      </c>
    </row>
    <row r="256" spans="1:27" ht="15" customHeight="1" x14ac:dyDescent="0.25">
      <c r="A256" s="12" t="s">
        <v>423</v>
      </c>
      <c r="B256" s="40">
        <v>15.05</v>
      </c>
      <c r="C256" s="12" t="s">
        <v>424</v>
      </c>
      <c r="D256" s="40">
        <v>38.5</v>
      </c>
      <c r="E256" s="13">
        <f t="shared" si="62"/>
        <v>4.4275000000000002</v>
      </c>
      <c r="F256" s="14"/>
      <c r="G256" s="15">
        <v>0.115</v>
      </c>
      <c r="H256" s="40">
        <v>6.85</v>
      </c>
      <c r="I256" s="40">
        <v>0</v>
      </c>
      <c r="J256" s="13">
        <f t="shared" si="47"/>
        <v>27.222499999999997</v>
      </c>
      <c r="K256" s="13"/>
      <c r="L256" s="15">
        <f t="shared" si="48"/>
        <v>0.08</v>
      </c>
      <c r="M256" s="13">
        <f t="shared" si="49"/>
        <v>3.08</v>
      </c>
      <c r="N256" s="13">
        <f t="shared" si="50"/>
        <v>9.0924999999999958</v>
      </c>
      <c r="O256" s="15">
        <f t="shared" si="51"/>
        <v>0.23616883116883106</v>
      </c>
      <c r="P256" s="16">
        <f t="shared" si="52"/>
        <v>36.198347107438018</v>
      </c>
      <c r="Q256" s="41">
        <f t="shared" si="53"/>
        <v>0.19999999999999984</v>
      </c>
      <c r="T256" s="42"/>
      <c r="U256" s="16">
        <f t="shared" si="54"/>
        <v>43.438016528925623</v>
      </c>
      <c r="V256" s="41">
        <f t="shared" si="55"/>
        <v>0.16666666666666674</v>
      </c>
      <c r="W256" s="17">
        <f t="shared" si="56"/>
        <v>0.30083333333333329</v>
      </c>
      <c r="X256" s="41">
        <f t="shared" si="57"/>
        <v>0.19999999999999984</v>
      </c>
      <c r="Y256" s="43">
        <f t="shared" si="58"/>
        <v>7.2396694214875978</v>
      </c>
      <c r="Z256" s="43">
        <f t="shared" si="59"/>
        <v>36.198347107438018</v>
      </c>
      <c r="AA256" s="44" t="str">
        <f t="shared" si="60"/>
        <v>OK</v>
      </c>
    </row>
    <row r="257" spans="1:27" ht="15" customHeight="1" x14ac:dyDescent="0.25">
      <c r="A257" s="12" t="s">
        <v>425</v>
      </c>
      <c r="B257" s="40">
        <v>15.05</v>
      </c>
      <c r="C257" s="12" t="s">
        <v>426</v>
      </c>
      <c r="D257" s="40">
        <v>38.5</v>
      </c>
      <c r="E257" s="13">
        <f t="shared" si="62"/>
        <v>4.4275000000000002</v>
      </c>
      <c r="F257" s="14"/>
      <c r="G257" s="15">
        <v>0.115</v>
      </c>
      <c r="H257" s="40">
        <v>6.85</v>
      </c>
      <c r="I257" s="40">
        <v>0</v>
      </c>
      <c r="J257" s="13">
        <f t="shared" si="47"/>
        <v>27.222499999999997</v>
      </c>
      <c r="K257" s="13"/>
      <c r="L257" s="15">
        <f t="shared" si="48"/>
        <v>0.08</v>
      </c>
      <c r="M257" s="13">
        <f t="shared" si="49"/>
        <v>3.08</v>
      </c>
      <c r="N257" s="13">
        <f t="shared" si="50"/>
        <v>9.0924999999999958</v>
      </c>
      <c r="O257" s="15">
        <f t="shared" si="51"/>
        <v>0.23616883116883106</v>
      </c>
      <c r="P257" s="16">
        <f t="shared" si="52"/>
        <v>36.198347107438018</v>
      </c>
      <c r="Q257" s="41">
        <f t="shared" si="53"/>
        <v>0.19999999999999984</v>
      </c>
      <c r="T257" s="42"/>
      <c r="U257" s="16">
        <f t="shared" si="54"/>
        <v>43.438016528925623</v>
      </c>
      <c r="V257" s="41">
        <f t="shared" si="55"/>
        <v>0.16666666666666674</v>
      </c>
      <c r="W257" s="17">
        <f t="shared" si="56"/>
        <v>0.30083333333333329</v>
      </c>
      <c r="X257" s="41">
        <f t="shared" si="57"/>
        <v>0.19999999999999984</v>
      </c>
      <c r="Y257" s="43">
        <f t="shared" si="58"/>
        <v>7.2396694214875978</v>
      </c>
      <c r="Z257" s="43">
        <f t="shared" si="59"/>
        <v>36.198347107438018</v>
      </c>
      <c r="AA257" s="44" t="str">
        <f t="shared" si="60"/>
        <v>OK</v>
      </c>
    </row>
    <row r="258" spans="1:27" ht="15" customHeight="1" x14ac:dyDescent="0.25">
      <c r="A258" s="12" t="s">
        <v>427</v>
      </c>
      <c r="B258" s="40">
        <v>15.05</v>
      </c>
      <c r="C258" s="12" t="s">
        <v>428</v>
      </c>
      <c r="D258" s="40">
        <v>38.5</v>
      </c>
      <c r="E258" s="13">
        <f t="shared" si="62"/>
        <v>4.4275000000000002</v>
      </c>
      <c r="F258" s="14"/>
      <c r="G258" s="15">
        <v>0.115</v>
      </c>
      <c r="H258" s="40">
        <v>7.95</v>
      </c>
      <c r="I258" s="40">
        <v>0</v>
      </c>
      <c r="J258" s="13">
        <f t="shared" si="47"/>
        <v>26.122499999999999</v>
      </c>
      <c r="K258" s="13"/>
      <c r="L258" s="15">
        <f t="shared" si="48"/>
        <v>0.08</v>
      </c>
      <c r="M258" s="13">
        <f t="shared" si="49"/>
        <v>3.08</v>
      </c>
      <c r="N258" s="13">
        <f t="shared" si="50"/>
        <v>7.9924999999999979</v>
      </c>
      <c r="O258" s="15">
        <f t="shared" si="51"/>
        <v>0.20759740259740253</v>
      </c>
      <c r="P258" s="16">
        <f t="shared" si="52"/>
        <v>38.016528925619838</v>
      </c>
      <c r="Q258" s="41">
        <f t="shared" si="53"/>
        <v>0.20000000000000012</v>
      </c>
      <c r="T258" s="42"/>
      <c r="U258" s="16">
        <f t="shared" si="54"/>
        <v>45.619834710743802</v>
      </c>
      <c r="V258" s="41">
        <f t="shared" si="55"/>
        <v>0.16666666666666663</v>
      </c>
      <c r="W258" s="17">
        <f t="shared" si="56"/>
        <v>0.30083333333333323</v>
      </c>
      <c r="X258" s="41">
        <f t="shared" si="57"/>
        <v>0.20000000000000012</v>
      </c>
      <c r="Y258" s="43">
        <f t="shared" si="58"/>
        <v>7.6033057851239718</v>
      </c>
      <c r="Z258" s="43">
        <f t="shared" si="59"/>
        <v>38.016528925619838</v>
      </c>
      <c r="AA258" s="44" t="str">
        <f t="shared" si="60"/>
        <v>OK</v>
      </c>
    </row>
    <row r="259" spans="1:27" ht="15" customHeight="1" x14ac:dyDescent="0.25">
      <c r="A259" s="12" t="s">
        <v>429</v>
      </c>
      <c r="B259" s="40">
        <v>15.05</v>
      </c>
      <c r="C259" s="12" t="s">
        <v>430</v>
      </c>
      <c r="D259" s="40">
        <v>38.5</v>
      </c>
      <c r="E259" s="13">
        <f t="shared" si="62"/>
        <v>4.4275000000000002</v>
      </c>
      <c r="F259" s="14"/>
      <c r="G259" s="15">
        <v>0.115</v>
      </c>
      <c r="H259" s="40">
        <v>7.95</v>
      </c>
      <c r="I259" s="40">
        <v>0</v>
      </c>
      <c r="J259" s="13">
        <f t="shared" ref="J259:J322" si="63">D259-IFERROR(E259,0)-IFERROR(F259,0)-IF(D259&lt;79,H259,0)-IF(D259&gt;=79,I259,0)</f>
        <v>26.122499999999999</v>
      </c>
      <c r="K259" s="13"/>
      <c r="L259" s="15">
        <f t="shared" ref="L259:L322" si="64">$K$2</f>
        <v>0.08</v>
      </c>
      <c r="M259" s="13">
        <f t="shared" ref="M259:M322" si="65">D259*$K$2</f>
        <v>3.08</v>
      </c>
      <c r="N259" s="13">
        <f t="shared" ref="N259:N322" si="66">J259-IF(ISNUMBER(B259),B259,0)-M259</f>
        <v>7.9924999999999979</v>
      </c>
      <c r="O259" s="15">
        <f t="shared" ref="O259:O322" si="67">IFERROR(N259/D259,0)</f>
        <v>0.20759740259740253</v>
      </c>
      <c r="P259" s="16">
        <f t="shared" ref="P259:P322" si="68">IF(NOT(ISNUMBER(B259)),"",IF((1-G259-$K$2-$Q$2)&lt;=0,"erro",IF((B259+H259)/(1-G259-$K$2-$Q$2)&lt;79,(B259+H259)/(1-G259-$K$2-$Q$2),IF((78.99-78.99*G259-H259-78.99*$K$2-B259)/78.99&gt;=$R$2,78.99,IF((B259+I259)/(1-G259-$K$2-$Q$2)&gt;=79,(B259+I259)/(1-G259-$K$2-$Q$2),MAX(79,(B259+I259)/(1-G259-$K$2-$R$2)))))))</f>
        <v>38.016528925619838</v>
      </c>
      <c r="Q259" s="41">
        <f t="shared" ref="Q259:Q322" si="69">IF(NOT(ISNUMBER(P259)),"",(P259-P259*G259-IF(P259&lt;79,H259,I259)-P259*$K$2-B259)/P259)</f>
        <v>0.20000000000000012</v>
      </c>
      <c r="T259" s="42"/>
      <c r="U259" s="16">
        <f t="shared" ref="U259:U322" si="70">IF(NOT(ISNUMBER(P259)),"",P259*(1+$T$2))</f>
        <v>45.619834710743802</v>
      </c>
      <c r="V259" s="41">
        <f t="shared" ref="V259:V322" si="71">IF(NOT(ISNUMBER(U259)),"",1-P259/U259)</f>
        <v>0.16666666666666663</v>
      </c>
      <c r="W259" s="17">
        <f t="shared" ref="W259:W322" si="72">IF(NOT(ISNUMBER(U259)),"",(U259-U259*G259-IF(U259&lt;79,H259,I259)-U259*$K$2-B259)/U259)</f>
        <v>0.30083333333333323</v>
      </c>
      <c r="X259" s="41">
        <f t="shared" ref="X259:X322" si="73">IF(NOT(ISNUMBER(P259)),"",(P259-P259*G259-IF(P259&lt;79,H259,I259)-P259*$K$2-B259)/P259)</f>
        <v>0.20000000000000012</v>
      </c>
      <c r="Y259" s="43">
        <f t="shared" ref="Y259:Y322" si="74">IF(NOT(ISNUMBER(P259)),"",P259-P259*G259-IF(P259&lt;79,H259,I259)-P259*$K$2-B259)</f>
        <v>7.6033057851239718</v>
      </c>
      <c r="Z259" s="43">
        <f t="shared" ref="Z259:Z322" si="75">IF(NOT(ISNUMBER(P259)),"",P259)</f>
        <v>38.016528925619838</v>
      </c>
      <c r="AA259" s="44" t="str">
        <f t="shared" ref="AA259:AA322" si="76">IF(NOT(ISNUMBER(B259)),"Sem custo",IF(NOT(ISNUMBER(P259)),"",IF(AND(P259&gt;=79,I259=0),"⚠ Subiu p/ frete (I=0)",IF(ABS(P259-78.99)&lt;0.01,"Forçado &lt;79 (evita frete)",IF(AND(P259&gt;=79,Q259&lt;$Q$2-0.001),"Subiu p/ frete (min R2)",IF(Q259&lt;$R$2-0.001,"⚠ Margem abaixo do mínimo","OK"))))))</f>
        <v>OK</v>
      </c>
    </row>
    <row r="260" spans="1:27" ht="15" customHeight="1" x14ac:dyDescent="0.25">
      <c r="A260" s="12" t="s">
        <v>431</v>
      </c>
      <c r="B260" s="40">
        <v>7.6</v>
      </c>
      <c r="C260" s="12" t="s">
        <v>432</v>
      </c>
      <c r="D260" s="40">
        <v>22.9</v>
      </c>
      <c r="E260" s="13">
        <f t="shared" si="62"/>
        <v>2.6334999999999997</v>
      </c>
      <c r="F260" s="14"/>
      <c r="G260" s="15">
        <v>0.115</v>
      </c>
      <c r="H260" s="40">
        <v>6.65</v>
      </c>
      <c r="I260" s="40">
        <v>0</v>
      </c>
      <c r="J260" s="13">
        <f t="shared" si="63"/>
        <v>13.6165</v>
      </c>
      <c r="K260" s="13"/>
      <c r="L260" s="15">
        <f t="shared" si="64"/>
        <v>0.08</v>
      </c>
      <c r="M260" s="13">
        <f t="shared" si="65"/>
        <v>1.8319999999999999</v>
      </c>
      <c r="N260" s="13">
        <f t="shared" si="66"/>
        <v>4.1845000000000008</v>
      </c>
      <c r="O260" s="15">
        <f t="shared" si="67"/>
        <v>0.18272925764192144</v>
      </c>
      <c r="P260" s="16">
        <f t="shared" si="68"/>
        <v>23.553719008264462</v>
      </c>
      <c r="Q260" s="41">
        <f t="shared" si="69"/>
        <v>0.2</v>
      </c>
      <c r="T260" s="42"/>
      <c r="U260" s="16">
        <f t="shared" si="70"/>
        <v>28.264462809917354</v>
      </c>
      <c r="V260" s="41">
        <f t="shared" si="71"/>
        <v>0.16666666666666663</v>
      </c>
      <c r="W260" s="17">
        <f t="shared" si="72"/>
        <v>0.30083333333333334</v>
      </c>
      <c r="X260" s="41">
        <f t="shared" si="73"/>
        <v>0.2</v>
      </c>
      <c r="Y260" s="43">
        <f t="shared" si="74"/>
        <v>4.7107438016528924</v>
      </c>
      <c r="Z260" s="43">
        <f t="shared" si="75"/>
        <v>23.553719008264462</v>
      </c>
      <c r="AA260" s="44" t="str">
        <f t="shared" si="76"/>
        <v>OK</v>
      </c>
    </row>
    <row r="261" spans="1:27" ht="15" customHeight="1" x14ac:dyDescent="0.25">
      <c r="A261" s="12" t="s">
        <v>433</v>
      </c>
      <c r="B261" s="40">
        <v>4.47</v>
      </c>
      <c r="C261" s="12" t="s">
        <v>434</v>
      </c>
      <c r="D261" s="40">
        <v>17.5</v>
      </c>
      <c r="E261" s="13">
        <f t="shared" si="62"/>
        <v>2.1</v>
      </c>
      <c r="F261" s="14"/>
      <c r="G261" s="15">
        <v>0.12</v>
      </c>
      <c r="H261" s="40">
        <v>8.5500000000000007</v>
      </c>
      <c r="I261" s="40">
        <v>0</v>
      </c>
      <c r="J261" s="13">
        <f t="shared" si="63"/>
        <v>6.85</v>
      </c>
      <c r="K261" s="13"/>
      <c r="L261" s="15">
        <f t="shared" si="64"/>
        <v>0.08</v>
      </c>
      <c r="M261" s="13">
        <f t="shared" si="65"/>
        <v>1.4000000000000001</v>
      </c>
      <c r="N261" s="13">
        <f t="shared" si="66"/>
        <v>0.97999999999999976</v>
      </c>
      <c r="O261" s="15">
        <f t="shared" si="67"/>
        <v>5.5999999999999987E-2</v>
      </c>
      <c r="P261" s="16">
        <f t="shared" si="68"/>
        <v>21.699999999999996</v>
      </c>
      <c r="Q261" s="41">
        <f t="shared" si="69"/>
        <v>0.19999999999999982</v>
      </c>
      <c r="T261" s="42"/>
      <c r="U261" s="16">
        <f t="shared" si="70"/>
        <v>26.039999999999996</v>
      </c>
      <c r="V261" s="41">
        <f t="shared" si="71"/>
        <v>0.16666666666666674</v>
      </c>
      <c r="W261" s="17">
        <f t="shared" si="72"/>
        <v>0.29999999999999988</v>
      </c>
      <c r="X261" s="41">
        <f t="shared" si="73"/>
        <v>0.19999999999999982</v>
      </c>
      <c r="Y261" s="43">
        <f t="shared" si="74"/>
        <v>4.3399999999999954</v>
      </c>
      <c r="Z261" s="43">
        <f t="shared" si="75"/>
        <v>21.699999999999996</v>
      </c>
      <c r="AA261" s="44" t="str">
        <f t="shared" si="76"/>
        <v>OK</v>
      </c>
    </row>
    <row r="262" spans="1:27" ht="15" customHeight="1" x14ac:dyDescent="0.25">
      <c r="A262" s="12" t="s">
        <v>435</v>
      </c>
      <c r="B262" s="40">
        <v>5.27</v>
      </c>
      <c r="C262" s="12" t="s">
        <v>436</v>
      </c>
      <c r="D262" s="40">
        <v>19.899999999999999</v>
      </c>
      <c r="E262" s="13">
        <f t="shared" si="62"/>
        <v>2.2885</v>
      </c>
      <c r="F262" s="14"/>
      <c r="G262" s="15">
        <v>0.115</v>
      </c>
      <c r="H262" s="40">
        <v>6.75</v>
      </c>
      <c r="I262" s="40">
        <v>0</v>
      </c>
      <c r="J262" s="13">
        <f t="shared" si="63"/>
        <v>10.861499999999999</v>
      </c>
      <c r="K262" s="13"/>
      <c r="L262" s="15">
        <f t="shared" si="64"/>
        <v>0.08</v>
      </c>
      <c r="M262" s="13">
        <f t="shared" si="65"/>
        <v>1.5919999999999999</v>
      </c>
      <c r="N262" s="13">
        <f t="shared" si="66"/>
        <v>3.9995000000000003</v>
      </c>
      <c r="O262" s="15">
        <f t="shared" si="67"/>
        <v>0.20097989949748746</v>
      </c>
      <c r="P262" s="16">
        <f t="shared" si="68"/>
        <v>19.867768595041323</v>
      </c>
      <c r="Q262" s="41">
        <f t="shared" si="69"/>
        <v>0.20000000000000004</v>
      </c>
      <c r="T262" s="42"/>
      <c r="U262" s="16">
        <f t="shared" si="70"/>
        <v>23.841322314049588</v>
      </c>
      <c r="V262" s="41">
        <f t="shared" si="71"/>
        <v>0.16666666666666674</v>
      </c>
      <c r="W262" s="17">
        <f t="shared" si="72"/>
        <v>0.30083333333333345</v>
      </c>
      <c r="X262" s="41">
        <f t="shared" si="73"/>
        <v>0.20000000000000004</v>
      </c>
      <c r="Y262" s="43">
        <f t="shared" si="74"/>
        <v>3.9735537190082653</v>
      </c>
      <c r="Z262" s="43">
        <f t="shared" si="75"/>
        <v>19.867768595041323</v>
      </c>
      <c r="AA262" s="44" t="str">
        <f t="shared" si="76"/>
        <v>OK</v>
      </c>
    </row>
    <row r="263" spans="1:27" ht="15" customHeight="1" x14ac:dyDescent="0.25">
      <c r="A263" s="12" t="s">
        <v>437</v>
      </c>
      <c r="B263" s="40">
        <v>44.85</v>
      </c>
      <c r="C263" s="12" t="s">
        <v>438</v>
      </c>
      <c r="D263" s="40">
        <v>78.900000000000006</v>
      </c>
      <c r="E263" s="13">
        <f t="shared" si="62"/>
        <v>9.073500000000001</v>
      </c>
      <c r="F263" s="14"/>
      <c r="G263" s="15">
        <v>0.115</v>
      </c>
      <c r="H263" s="40">
        <v>8.5500000000000007</v>
      </c>
      <c r="I263" s="40">
        <v>0</v>
      </c>
      <c r="J263" s="13">
        <f t="shared" si="63"/>
        <v>61.276500000000013</v>
      </c>
      <c r="K263" s="13"/>
      <c r="L263" s="15">
        <f t="shared" si="64"/>
        <v>0.08</v>
      </c>
      <c r="M263" s="13">
        <f t="shared" si="65"/>
        <v>6.3120000000000003</v>
      </c>
      <c r="N263" s="13">
        <f t="shared" si="66"/>
        <v>10.11450000000001</v>
      </c>
      <c r="O263" s="15">
        <f t="shared" si="67"/>
        <v>0.12819391634981001</v>
      </c>
      <c r="P263" s="16">
        <f t="shared" si="68"/>
        <v>79</v>
      </c>
      <c r="Q263" s="41">
        <f t="shared" si="69"/>
        <v>0.23727848101265811</v>
      </c>
      <c r="T263" s="42"/>
      <c r="U263" s="16">
        <f t="shared" si="70"/>
        <v>94.8</v>
      </c>
      <c r="V263" s="41">
        <f t="shared" si="71"/>
        <v>0.16666666666666663</v>
      </c>
      <c r="W263" s="17">
        <f t="shared" si="72"/>
        <v>0.3318987341772151</v>
      </c>
      <c r="X263" s="41">
        <f t="shared" si="73"/>
        <v>0.23727848101265811</v>
      </c>
      <c r="Y263" s="43">
        <f t="shared" si="74"/>
        <v>18.74499999999999</v>
      </c>
      <c r="Z263" s="43">
        <f t="shared" si="75"/>
        <v>79</v>
      </c>
      <c r="AA263" s="44" t="str">
        <f t="shared" si="76"/>
        <v>⚠ Subiu p/ frete (I=0)</v>
      </c>
    </row>
    <row r="264" spans="1:27" ht="15" customHeight="1" x14ac:dyDescent="0.25">
      <c r="A264" s="12" t="s">
        <v>439</v>
      </c>
      <c r="B264" s="40">
        <v>44.85</v>
      </c>
      <c r="C264" s="12" t="s">
        <v>440</v>
      </c>
      <c r="D264" s="40">
        <v>78.900000000000006</v>
      </c>
      <c r="E264" s="13">
        <f t="shared" si="62"/>
        <v>9.073500000000001</v>
      </c>
      <c r="F264" s="14"/>
      <c r="G264" s="15">
        <v>0.115</v>
      </c>
      <c r="H264" s="40">
        <v>8.0500000000000007</v>
      </c>
      <c r="I264" s="40">
        <v>0</v>
      </c>
      <c r="J264" s="13">
        <f t="shared" si="63"/>
        <v>61.776500000000013</v>
      </c>
      <c r="K264" s="13"/>
      <c r="L264" s="15">
        <f t="shared" si="64"/>
        <v>0.08</v>
      </c>
      <c r="M264" s="13">
        <f t="shared" si="65"/>
        <v>6.3120000000000003</v>
      </c>
      <c r="N264" s="13">
        <f t="shared" si="66"/>
        <v>10.61450000000001</v>
      </c>
      <c r="O264" s="15">
        <f t="shared" si="67"/>
        <v>0.13453105196451215</v>
      </c>
      <c r="P264" s="16">
        <f t="shared" si="68"/>
        <v>79</v>
      </c>
      <c r="Q264" s="41">
        <f t="shared" si="69"/>
        <v>0.23727848101265811</v>
      </c>
      <c r="T264" s="42"/>
      <c r="U264" s="16">
        <f t="shared" si="70"/>
        <v>94.8</v>
      </c>
      <c r="V264" s="41">
        <f t="shared" si="71"/>
        <v>0.16666666666666663</v>
      </c>
      <c r="W264" s="17">
        <f t="shared" si="72"/>
        <v>0.3318987341772151</v>
      </c>
      <c r="X264" s="41">
        <f t="shared" si="73"/>
        <v>0.23727848101265811</v>
      </c>
      <c r="Y264" s="43">
        <f t="shared" si="74"/>
        <v>18.74499999999999</v>
      </c>
      <c r="Z264" s="43">
        <f t="shared" si="75"/>
        <v>79</v>
      </c>
      <c r="AA264" s="44" t="str">
        <f t="shared" si="76"/>
        <v>⚠ Subiu p/ frete (I=0)</v>
      </c>
    </row>
    <row r="265" spans="1:27" ht="15" customHeight="1" x14ac:dyDescent="0.25">
      <c r="A265" s="12" t="s">
        <v>441</v>
      </c>
      <c r="B265" s="40">
        <v>44.85</v>
      </c>
      <c r="C265" s="12" t="s">
        <v>442</v>
      </c>
      <c r="D265" s="40">
        <v>78.900000000000006</v>
      </c>
      <c r="E265" s="13">
        <f t="shared" si="62"/>
        <v>9.073500000000001</v>
      </c>
      <c r="F265" s="14"/>
      <c r="G265" s="15">
        <v>0.115</v>
      </c>
      <c r="H265" s="40">
        <v>8.5500000000000007</v>
      </c>
      <c r="I265" s="40">
        <v>0</v>
      </c>
      <c r="J265" s="13">
        <f t="shared" si="63"/>
        <v>61.276500000000013</v>
      </c>
      <c r="K265" s="13"/>
      <c r="L265" s="15">
        <f t="shared" si="64"/>
        <v>0.08</v>
      </c>
      <c r="M265" s="13">
        <f t="shared" si="65"/>
        <v>6.3120000000000003</v>
      </c>
      <c r="N265" s="13">
        <f t="shared" si="66"/>
        <v>10.11450000000001</v>
      </c>
      <c r="O265" s="15">
        <f t="shared" si="67"/>
        <v>0.12819391634981001</v>
      </c>
      <c r="P265" s="16">
        <f t="shared" si="68"/>
        <v>79</v>
      </c>
      <c r="Q265" s="41">
        <f t="shared" si="69"/>
        <v>0.23727848101265811</v>
      </c>
      <c r="T265" s="42"/>
      <c r="U265" s="16">
        <f t="shared" si="70"/>
        <v>94.8</v>
      </c>
      <c r="V265" s="41">
        <f t="shared" si="71"/>
        <v>0.16666666666666663</v>
      </c>
      <c r="W265" s="17">
        <f t="shared" si="72"/>
        <v>0.3318987341772151</v>
      </c>
      <c r="X265" s="41">
        <f t="shared" si="73"/>
        <v>0.23727848101265811</v>
      </c>
      <c r="Y265" s="43">
        <f t="shared" si="74"/>
        <v>18.74499999999999</v>
      </c>
      <c r="Z265" s="43">
        <f t="shared" si="75"/>
        <v>79</v>
      </c>
      <c r="AA265" s="44" t="str">
        <f t="shared" si="76"/>
        <v>⚠ Subiu p/ frete (I=0)</v>
      </c>
    </row>
    <row r="266" spans="1:27" ht="15" customHeight="1" x14ac:dyDescent="0.25">
      <c r="A266" s="12" t="s">
        <v>443</v>
      </c>
      <c r="B266" s="40">
        <v>44.85</v>
      </c>
      <c r="C266" s="12" t="s">
        <v>444</v>
      </c>
      <c r="D266" s="40">
        <v>78.900000000000006</v>
      </c>
      <c r="E266" s="13">
        <f t="shared" si="62"/>
        <v>9.073500000000001</v>
      </c>
      <c r="F266" s="14"/>
      <c r="G266" s="15">
        <v>0.115</v>
      </c>
      <c r="H266" s="40">
        <v>8.0500000000000007</v>
      </c>
      <c r="I266" s="40">
        <v>0</v>
      </c>
      <c r="J266" s="13">
        <f t="shared" si="63"/>
        <v>61.776500000000013</v>
      </c>
      <c r="K266" s="13"/>
      <c r="L266" s="15">
        <f t="shared" si="64"/>
        <v>0.08</v>
      </c>
      <c r="M266" s="13">
        <f t="shared" si="65"/>
        <v>6.3120000000000003</v>
      </c>
      <c r="N266" s="13">
        <f t="shared" si="66"/>
        <v>10.61450000000001</v>
      </c>
      <c r="O266" s="15">
        <f t="shared" si="67"/>
        <v>0.13453105196451215</v>
      </c>
      <c r="P266" s="16">
        <f t="shared" si="68"/>
        <v>79</v>
      </c>
      <c r="Q266" s="41">
        <f t="shared" si="69"/>
        <v>0.23727848101265811</v>
      </c>
      <c r="T266" s="42"/>
      <c r="U266" s="16">
        <f t="shared" si="70"/>
        <v>94.8</v>
      </c>
      <c r="V266" s="41">
        <f t="shared" si="71"/>
        <v>0.16666666666666663</v>
      </c>
      <c r="W266" s="17">
        <f t="shared" si="72"/>
        <v>0.3318987341772151</v>
      </c>
      <c r="X266" s="41">
        <f t="shared" si="73"/>
        <v>0.23727848101265811</v>
      </c>
      <c r="Y266" s="43">
        <f t="shared" si="74"/>
        <v>18.74499999999999</v>
      </c>
      <c r="Z266" s="43">
        <f t="shared" si="75"/>
        <v>79</v>
      </c>
      <c r="AA266" s="44" t="str">
        <f t="shared" si="76"/>
        <v>⚠ Subiu p/ frete (I=0)</v>
      </c>
    </row>
    <row r="267" spans="1:27" ht="15" customHeight="1" x14ac:dyDescent="0.25">
      <c r="A267" s="12" t="s">
        <v>445</v>
      </c>
      <c r="B267" s="40">
        <v>7.6</v>
      </c>
      <c r="C267" s="12" t="s">
        <v>446</v>
      </c>
      <c r="D267" s="40">
        <v>22.9</v>
      </c>
      <c r="E267" s="13">
        <f t="shared" si="62"/>
        <v>2.6334999999999997</v>
      </c>
      <c r="F267" s="14"/>
      <c r="G267" s="15">
        <v>0.115</v>
      </c>
      <c r="H267" s="40">
        <v>6.75</v>
      </c>
      <c r="I267" s="40">
        <v>0</v>
      </c>
      <c r="J267" s="13">
        <f t="shared" si="63"/>
        <v>13.516500000000001</v>
      </c>
      <c r="K267" s="13"/>
      <c r="L267" s="15">
        <f t="shared" si="64"/>
        <v>0.08</v>
      </c>
      <c r="M267" s="13">
        <f t="shared" si="65"/>
        <v>1.8319999999999999</v>
      </c>
      <c r="N267" s="13">
        <f t="shared" si="66"/>
        <v>4.0845000000000011</v>
      </c>
      <c r="O267" s="15">
        <f t="shared" si="67"/>
        <v>0.17836244541484722</v>
      </c>
      <c r="P267" s="16">
        <f t="shared" si="68"/>
        <v>23.719008264462811</v>
      </c>
      <c r="Q267" s="41">
        <f t="shared" si="69"/>
        <v>0.2</v>
      </c>
      <c r="T267" s="42"/>
      <c r="U267" s="16">
        <f t="shared" si="70"/>
        <v>28.462809917355372</v>
      </c>
      <c r="V267" s="41">
        <f t="shared" si="71"/>
        <v>0.16666666666666663</v>
      </c>
      <c r="W267" s="17">
        <f t="shared" si="72"/>
        <v>0.30083333333333323</v>
      </c>
      <c r="X267" s="41">
        <f t="shared" si="73"/>
        <v>0.2</v>
      </c>
      <c r="Y267" s="43">
        <f t="shared" si="74"/>
        <v>4.7438016528925626</v>
      </c>
      <c r="Z267" s="43">
        <f t="shared" si="75"/>
        <v>23.719008264462811</v>
      </c>
      <c r="AA267" s="44" t="str">
        <f t="shared" si="76"/>
        <v>OK</v>
      </c>
    </row>
    <row r="268" spans="1:27" ht="15" customHeight="1" x14ac:dyDescent="0.25">
      <c r="A268" s="12" t="s">
        <v>447</v>
      </c>
      <c r="B268" s="40">
        <v>7.6</v>
      </c>
      <c r="C268" s="12" t="s">
        <v>448</v>
      </c>
      <c r="D268" s="40">
        <v>22.9</v>
      </c>
      <c r="E268" s="13">
        <f t="shared" si="62"/>
        <v>2.6334999999999997</v>
      </c>
      <c r="F268" s="14"/>
      <c r="G268" s="15">
        <v>0.115</v>
      </c>
      <c r="H268" s="40">
        <v>6.75</v>
      </c>
      <c r="I268" s="40">
        <v>0</v>
      </c>
      <c r="J268" s="13">
        <f t="shared" si="63"/>
        <v>13.516500000000001</v>
      </c>
      <c r="K268" s="13"/>
      <c r="L268" s="15">
        <f t="shared" si="64"/>
        <v>0.08</v>
      </c>
      <c r="M268" s="13">
        <f t="shared" si="65"/>
        <v>1.8319999999999999</v>
      </c>
      <c r="N268" s="13">
        <f t="shared" si="66"/>
        <v>4.0845000000000011</v>
      </c>
      <c r="O268" s="15">
        <f t="shared" si="67"/>
        <v>0.17836244541484722</v>
      </c>
      <c r="P268" s="16">
        <f t="shared" si="68"/>
        <v>23.719008264462811</v>
      </c>
      <c r="Q268" s="41">
        <f t="shared" si="69"/>
        <v>0.2</v>
      </c>
      <c r="T268" s="42"/>
      <c r="U268" s="16">
        <f t="shared" si="70"/>
        <v>28.462809917355372</v>
      </c>
      <c r="V268" s="41">
        <f t="shared" si="71"/>
        <v>0.16666666666666663</v>
      </c>
      <c r="W268" s="17">
        <f t="shared" si="72"/>
        <v>0.30083333333333323</v>
      </c>
      <c r="X268" s="41">
        <f t="shared" si="73"/>
        <v>0.2</v>
      </c>
      <c r="Y268" s="43">
        <f t="shared" si="74"/>
        <v>4.7438016528925626</v>
      </c>
      <c r="Z268" s="43">
        <f t="shared" si="75"/>
        <v>23.719008264462811</v>
      </c>
      <c r="AA268" s="44" t="str">
        <f t="shared" si="76"/>
        <v>OK</v>
      </c>
    </row>
    <row r="269" spans="1:27" ht="15" customHeight="1" x14ac:dyDescent="0.25">
      <c r="A269" s="12" t="s">
        <v>449</v>
      </c>
      <c r="B269" s="40">
        <v>7.6</v>
      </c>
      <c r="C269" s="12" t="s">
        <v>450</v>
      </c>
      <c r="D269" s="40">
        <v>22.9</v>
      </c>
      <c r="E269" s="13">
        <f t="shared" si="62"/>
        <v>2.6334999999999997</v>
      </c>
      <c r="F269" s="14"/>
      <c r="G269" s="15">
        <v>0.115</v>
      </c>
      <c r="H269" s="40">
        <v>6.65</v>
      </c>
      <c r="I269" s="40">
        <v>0</v>
      </c>
      <c r="J269" s="13">
        <f t="shared" si="63"/>
        <v>13.6165</v>
      </c>
      <c r="K269" s="13"/>
      <c r="L269" s="15">
        <f t="shared" si="64"/>
        <v>0.08</v>
      </c>
      <c r="M269" s="13">
        <f t="shared" si="65"/>
        <v>1.8319999999999999</v>
      </c>
      <c r="N269" s="13">
        <f t="shared" si="66"/>
        <v>4.1845000000000008</v>
      </c>
      <c r="O269" s="15">
        <f t="shared" si="67"/>
        <v>0.18272925764192144</v>
      </c>
      <c r="P269" s="16">
        <f t="shared" si="68"/>
        <v>23.553719008264462</v>
      </c>
      <c r="Q269" s="41">
        <f t="shared" si="69"/>
        <v>0.2</v>
      </c>
      <c r="T269" s="42"/>
      <c r="U269" s="16">
        <f t="shared" si="70"/>
        <v>28.264462809917354</v>
      </c>
      <c r="V269" s="41">
        <f t="shared" si="71"/>
        <v>0.16666666666666663</v>
      </c>
      <c r="W269" s="17">
        <f t="shared" si="72"/>
        <v>0.30083333333333334</v>
      </c>
      <c r="X269" s="41">
        <f t="shared" si="73"/>
        <v>0.2</v>
      </c>
      <c r="Y269" s="43">
        <f t="shared" si="74"/>
        <v>4.7107438016528924</v>
      </c>
      <c r="Z269" s="43">
        <f t="shared" si="75"/>
        <v>23.553719008264462</v>
      </c>
      <c r="AA269" s="44" t="str">
        <f t="shared" si="76"/>
        <v>OK</v>
      </c>
    </row>
    <row r="270" spans="1:27" ht="15" customHeight="1" x14ac:dyDescent="0.25">
      <c r="A270" s="12" t="s">
        <v>451</v>
      </c>
      <c r="B270" s="40">
        <v>15.05</v>
      </c>
      <c r="C270" s="12" t="s">
        <v>452</v>
      </c>
      <c r="D270" s="40">
        <v>38.5</v>
      </c>
      <c r="E270" s="13">
        <f t="shared" si="62"/>
        <v>4.4275000000000002</v>
      </c>
      <c r="F270" s="14"/>
      <c r="G270" s="15">
        <v>0.115</v>
      </c>
      <c r="H270" s="40">
        <v>6.95</v>
      </c>
      <c r="I270" s="40">
        <v>0</v>
      </c>
      <c r="J270" s="13">
        <f t="shared" si="63"/>
        <v>27.122499999999999</v>
      </c>
      <c r="K270" s="13"/>
      <c r="L270" s="15">
        <f t="shared" si="64"/>
        <v>0.08</v>
      </c>
      <c r="M270" s="13">
        <f t="shared" si="65"/>
        <v>3.08</v>
      </c>
      <c r="N270" s="13">
        <f t="shared" si="66"/>
        <v>8.9924999999999979</v>
      </c>
      <c r="O270" s="15">
        <f t="shared" si="67"/>
        <v>0.23357142857142851</v>
      </c>
      <c r="P270" s="16">
        <f t="shared" si="68"/>
        <v>36.363636363636367</v>
      </c>
      <c r="Q270" s="41">
        <f t="shared" si="69"/>
        <v>0.20000000000000009</v>
      </c>
      <c r="T270" s="42"/>
      <c r="U270" s="16">
        <f t="shared" si="70"/>
        <v>43.63636363636364</v>
      </c>
      <c r="V270" s="41">
        <f t="shared" si="71"/>
        <v>0.16666666666666663</v>
      </c>
      <c r="W270" s="17">
        <f t="shared" si="72"/>
        <v>0.3008333333333334</v>
      </c>
      <c r="X270" s="41">
        <f t="shared" si="73"/>
        <v>0.20000000000000009</v>
      </c>
      <c r="Y270" s="43">
        <f t="shared" si="74"/>
        <v>7.2727272727272769</v>
      </c>
      <c r="Z270" s="43">
        <f t="shared" si="75"/>
        <v>36.363636363636367</v>
      </c>
      <c r="AA270" s="44" t="str">
        <f t="shared" si="76"/>
        <v>OK</v>
      </c>
    </row>
    <row r="271" spans="1:27" ht="15" customHeight="1" x14ac:dyDescent="0.25">
      <c r="A271" s="12" t="s">
        <v>453</v>
      </c>
      <c r="B271" s="40">
        <v>15.05</v>
      </c>
      <c r="C271" s="12" t="s">
        <v>454</v>
      </c>
      <c r="D271" s="40">
        <v>38.5</v>
      </c>
      <c r="E271" s="13">
        <f t="shared" si="62"/>
        <v>4.4275000000000002</v>
      </c>
      <c r="F271" s="14"/>
      <c r="G271" s="15">
        <v>0.115</v>
      </c>
      <c r="H271" s="40">
        <v>7.95</v>
      </c>
      <c r="I271" s="40">
        <v>0</v>
      </c>
      <c r="J271" s="13">
        <f t="shared" si="63"/>
        <v>26.122499999999999</v>
      </c>
      <c r="K271" s="13"/>
      <c r="L271" s="15">
        <f t="shared" si="64"/>
        <v>0.08</v>
      </c>
      <c r="M271" s="13">
        <f t="shared" si="65"/>
        <v>3.08</v>
      </c>
      <c r="N271" s="13">
        <f t="shared" si="66"/>
        <v>7.9924999999999979</v>
      </c>
      <c r="O271" s="15">
        <f t="shared" si="67"/>
        <v>0.20759740259740253</v>
      </c>
      <c r="P271" s="16">
        <f t="shared" si="68"/>
        <v>38.016528925619838</v>
      </c>
      <c r="Q271" s="41">
        <f t="shared" si="69"/>
        <v>0.20000000000000012</v>
      </c>
      <c r="T271" s="42"/>
      <c r="U271" s="16">
        <f t="shared" si="70"/>
        <v>45.619834710743802</v>
      </c>
      <c r="V271" s="41">
        <f t="shared" si="71"/>
        <v>0.16666666666666663</v>
      </c>
      <c r="W271" s="17">
        <f t="shared" si="72"/>
        <v>0.30083333333333323</v>
      </c>
      <c r="X271" s="41">
        <f t="shared" si="73"/>
        <v>0.20000000000000012</v>
      </c>
      <c r="Y271" s="43">
        <f t="shared" si="74"/>
        <v>7.6033057851239718</v>
      </c>
      <c r="Z271" s="43">
        <f t="shared" si="75"/>
        <v>38.016528925619838</v>
      </c>
      <c r="AA271" s="44" t="str">
        <f t="shared" si="76"/>
        <v>OK</v>
      </c>
    </row>
    <row r="272" spans="1:27" ht="15" customHeight="1" x14ac:dyDescent="0.25">
      <c r="A272" s="12" t="s">
        <v>455</v>
      </c>
      <c r="B272" s="40">
        <v>15.05</v>
      </c>
      <c r="C272" s="12" t="s">
        <v>456</v>
      </c>
      <c r="D272" s="40">
        <v>38.5</v>
      </c>
      <c r="E272" s="13">
        <f t="shared" si="62"/>
        <v>4.4275000000000002</v>
      </c>
      <c r="F272" s="14"/>
      <c r="G272" s="15">
        <v>0.115</v>
      </c>
      <c r="H272" s="40">
        <v>7.95</v>
      </c>
      <c r="I272" s="40">
        <v>0</v>
      </c>
      <c r="J272" s="13">
        <f t="shared" si="63"/>
        <v>26.122499999999999</v>
      </c>
      <c r="K272" s="13"/>
      <c r="L272" s="15">
        <f t="shared" si="64"/>
        <v>0.08</v>
      </c>
      <c r="M272" s="13">
        <f t="shared" si="65"/>
        <v>3.08</v>
      </c>
      <c r="N272" s="13">
        <f t="shared" si="66"/>
        <v>7.9924999999999979</v>
      </c>
      <c r="O272" s="15">
        <f t="shared" si="67"/>
        <v>0.20759740259740253</v>
      </c>
      <c r="P272" s="16">
        <f t="shared" si="68"/>
        <v>38.016528925619838</v>
      </c>
      <c r="Q272" s="41">
        <f t="shared" si="69"/>
        <v>0.20000000000000012</v>
      </c>
      <c r="T272" s="42"/>
      <c r="U272" s="16">
        <f t="shared" si="70"/>
        <v>45.619834710743802</v>
      </c>
      <c r="V272" s="41">
        <f t="shared" si="71"/>
        <v>0.16666666666666663</v>
      </c>
      <c r="W272" s="17">
        <f t="shared" si="72"/>
        <v>0.30083333333333323</v>
      </c>
      <c r="X272" s="41">
        <f t="shared" si="73"/>
        <v>0.20000000000000012</v>
      </c>
      <c r="Y272" s="43">
        <f t="shared" si="74"/>
        <v>7.6033057851239718</v>
      </c>
      <c r="Z272" s="43">
        <f t="shared" si="75"/>
        <v>38.016528925619838</v>
      </c>
      <c r="AA272" s="44" t="str">
        <f t="shared" si="76"/>
        <v>OK</v>
      </c>
    </row>
    <row r="273" spans="1:27" ht="15" customHeight="1" x14ac:dyDescent="0.25">
      <c r="A273" s="12" t="s">
        <v>457</v>
      </c>
      <c r="B273" s="40">
        <v>15.05</v>
      </c>
      <c r="C273" s="12" t="s">
        <v>458</v>
      </c>
      <c r="D273" s="40">
        <v>38.5</v>
      </c>
      <c r="E273" s="13">
        <f t="shared" si="62"/>
        <v>4.4275000000000002</v>
      </c>
      <c r="F273" s="14"/>
      <c r="G273" s="15">
        <v>0.115</v>
      </c>
      <c r="H273" s="40">
        <v>7.95</v>
      </c>
      <c r="I273" s="40">
        <v>0</v>
      </c>
      <c r="J273" s="13">
        <f t="shared" si="63"/>
        <v>26.122499999999999</v>
      </c>
      <c r="K273" s="13"/>
      <c r="L273" s="15">
        <f t="shared" si="64"/>
        <v>0.08</v>
      </c>
      <c r="M273" s="13">
        <f t="shared" si="65"/>
        <v>3.08</v>
      </c>
      <c r="N273" s="13">
        <f t="shared" si="66"/>
        <v>7.9924999999999979</v>
      </c>
      <c r="O273" s="15">
        <f t="shared" si="67"/>
        <v>0.20759740259740253</v>
      </c>
      <c r="P273" s="16">
        <f t="shared" si="68"/>
        <v>38.016528925619838</v>
      </c>
      <c r="Q273" s="41">
        <f t="shared" si="69"/>
        <v>0.20000000000000012</v>
      </c>
      <c r="T273" s="42"/>
      <c r="U273" s="16">
        <f t="shared" si="70"/>
        <v>45.619834710743802</v>
      </c>
      <c r="V273" s="41">
        <f t="shared" si="71"/>
        <v>0.16666666666666663</v>
      </c>
      <c r="W273" s="17">
        <f t="shared" si="72"/>
        <v>0.30083333333333323</v>
      </c>
      <c r="X273" s="41">
        <f t="shared" si="73"/>
        <v>0.20000000000000012</v>
      </c>
      <c r="Y273" s="43">
        <f t="shared" si="74"/>
        <v>7.6033057851239718</v>
      </c>
      <c r="Z273" s="43">
        <f t="shared" si="75"/>
        <v>38.016528925619838</v>
      </c>
      <c r="AA273" s="44" t="str">
        <f t="shared" si="76"/>
        <v>OK</v>
      </c>
    </row>
    <row r="274" spans="1:27" ht="15" customHeight="1" x14ac:dyDescent="0.25">
      <c r="A274" s="12" t="s">
        <v>459</v>
      </c>
      <c r="B274" s="40">
        <v>7.6</v>
      </c>
      <c r="C274" s="12" t="s">
        <v>460</v>
      </c>
      <c r="D274" s="40">
        <v>22.9</v>
      </c>
      <c r="E274" s="13">
        <f t="shared" si="62"/>
        <v>2.6334999999999997</v>
      </c>
      <c r="F274" s="14"/>
      <c r="G274" s="15">
        <v>0.115</v>
      </c>
      <c r="H274" s="40">
        <v>6.75</v>
      </c>
      <c r="I274" s="40">
        <v>0</v>
      </c>
      <c r="J274" s="13">
        <f t="shared" si="63"/>
        <v>13.516500000000001</v>
      </c>
      <c r="K274" s="13"/>
      <c r="L274" s="15">
        <f t="shared" si="64"/>
        <v>0.08</v>
      </c>
      <c r="M274" s="13">
        <f t="shared" si="65"/>
        <v>1.8319999999999999</v>
      </c>
      <c r="N274" s="13">
        <f t="shared" si="66"/>
        <v>4.0845000000000011</v>
      </c>
      <c r="O274" s="15">
        <f t="shared" si="67"/>
        <v>0.17836244541484722</v>
      </c>
      <c r="P274" s="16">
        <f t="shared" si="68"/>
        <v>23.719008264462811</v>
      </c>
      <c r="Q274" s="41">
        <f t="shared" si="69"/>
        <v>0.2</v>
      </c>
      <c r="T274" s="42"/>
      <c r="U274" s="16">
        <f t="shared" si="70"/>
        <v>28.462809917355372</v>
      </c>
      <c r="V274" s="41">
        <f t="shared" si="71"/>
        <v>0.16666666666666663</v>
      </c>
      <c r="W274" s="17">
        <f t="shared" si="72"/>
        <v>0.30083333333333323</v>
      </c>
      <c r="X274" s="41">
        <f t="shared" si="73"/>
        <v>0.2</v>
      </c>
      <c r="Y274" s="43">
        <f t="shared" si="74"/>
        <v>4.7438016528925626</v>
      </c>
      <c r="Z274" s="43">
        <f t="shared" si="75"/>
        <v>23.719008264462811</v>
      </c>
      <c r="AA274" s="44" t="str">
        <f t="shared" si="76"/>
        <v>OK</v>
      </c>
    </row>
    <row r="275" spans="1:27" ht="15" customHeight="1" x14ac:dyDescent="0.25">
      <c r="A275" s="12" t="s">
        <v>146</v>
      </c>
      <c r="B275" s="40">
        <v>65.94</v>
      </c>
      <c r="C275" s="12" t="s">
        <v>461</v>
      </c>
      <c r="D275" s="40">
        <v>117.65</v>
      </c>
      <c r="E275" s="13">
        <f t="shared" si="62"/>
        <v>15.294500000000001</v>
      </c>
      <c r="F275" s="14"/>
      <c r="G275" s="15">
        <v>0.13</v>
      </c>
      <c r="H275" s="40">
        <v>0</v>
      </c>
      <c r="I275" s="40">
        <v>16.149999999999999</v>
      </c>
      <c r="J275" s="13">
        <f t="shared" si="63"/>
        <v>86.205500000000001</v>
      </c>
      <c r="K275" s="13"/>
      <c r="L275" s="15">
        <f t="shared" si="64"/>
        <v>0.08</v>
      </c>
      <c r="M275" s="13">
        <f t="shared" si="65"/>
        <v>9.4120000000000008</v>
      </c>
      <c r="N275" s="13">
        <f t="shared" si="66"/>
        <v>10.853500000000002</v>
      </c>
      <c r="O275" s="15">
        <f t="shared" si="67"/>
        <v>9.2252443688907795E-2</v>
      </c>
      <c r="P275" s="16">
        <f t="shared" si="68"/>
        <v>139.13559322033896</v>
      </c>
      <c r="Q275" s="41">
        <f t="shared" si="69"/>
        <v>0.19999999999999993</v>
      </c>
      <c r="T275" s="42"/>
      <c r="U275" s="16">
        <f t="shared" si="70"/>
        <v>166.96271186440674</v>
      </c>
      <c r="V275" s="41">
        <f t="shared" si="71"/>
        <v>0.16666666666666663</v>
      </c>
      <c r="W275" s="17">
        <f t="shared" si="72"/>
        <v>0.29833333333333323</v>
      </c>
      <c r="X275" s="41">
        <f t="shared" si="73"/>
        <v>0.19999999999999993</v>
      </c>
      <c r="Y275" s="43">
        <f t="shared" si="74"/>
        <v>27.827118644067781</v>
      </c>
      <c r="Z275" s="43">
        <f t="shared" si="75"/>
        <v>139.13559322033896</v>
      </c>
      <c r="AA275" s="44" t="str">
        <f t="shared" si="76"/>
        <v>OK</v>
      </c>
    </row>
    <row r="276" spans="1:27" ht="15" customHeight="1" x14ac:dyDescent="0.25">
      <c r="A276" s="12" t="s">
        <v>99</v>
      </c>
      <c r="B276" s="40">
        <v>50.25</v>
      </c>
      <c r="C276" s="12" t="s">
        <v>462</v>
      </c>
      <c r="D276" s="40">
        <v>72.989999999999995</v>
      </c>
      <c r="E276" s="14"/>
      <c r="F276" s="13">
        <f>D276*G276</f>
        <v>12.04335</v>
      </c>
      <c r="G276" s="15">
        <v>0.16500000000000001</v>
      </c>
      <c r="H276" s="40">
        <v>7.75</v>
      </c>
      <c r="I276" s="40">
        <v>0</v>
      </c>
      <c r="J276" s="13">
        <f t="shared" si="63"/>
        <v>53.196649999999991</v>
      </c>
      <c r="K276" s="13"/>
      <c r="L276" s="15">
        <f t="shared" si="64"/>
        <v>0.08</v>
      </c>
      <c r="M276" s="13">
        <f t="shared" si="65"/>
        <v>5.8391999999999999</v>
      </c>
      <c r="N276" s="13">
        <f t="shared" si="66"/>
        <v>-2.8925500000000088</v>
      </c>
      <c r="O276" s="15">
        <f t="shared" si="67"/>
        <v>-3.9629401287847775E-2</v>
      </c>
      <c r="P276" s="16">
        <f t="shared" si="68"/>
        <v>90.540540540540547</v>
      </c>
      <c r="Q276" s="41">
        <f t="shared" si="69"/>
        <v>0.20000000000000004</v>
      </c>
      <c r="T276" s="42"/>
      <c r="U276" s="16">
        <f t="shared" si="70"/>
        <v>108.64864864864866</v>
      </c>
      <c r="V276" s="41">
        <f t="shared" si="71"/>
        <v>0.16666666666666674</v>
      </c>
      <c r="W276" s="17">
        <f t="shared" si="72"/>
        <v>0.29250000000000004</v>
      </c>
      <c r="X276" s="41">
        <f t="shared" si="73"/>
        <v>0.20000000000000004</v>
      </c>
      <c r="Y276" s="43">
        <f t="shared" si="74"/>
        <v>18.108108108108112</v>
      </c>
      <c r="Z276" s="43">
        <f t="shared" si="75"/>
        <v>90.540540540540547</v>
      </c>
      <c r="AA276" s="44" t="str">
        <f t="shared" si="76"/>
        <v>⚠ Subiu p/ frete (I=0)</v>
      </c>
    </row>
    <row r="277" spans="1:27" ht="15" customHeight="1" x14ac:dyDescent="0.25">
      <c r="A277" s="12" t="s">
        <v>463</v>
      </c>
      <c r="B277" s="40">
        <v>1.5</v>
      </c>
      <c r="C277" s="12" t="s">
        <v>464</v>
      </c>
      <c r="D277" s="40">
        <v>13.9</v>
      </c>
      <c r="E277" s="13">
        <f t="shared" ref="E277:E289" si="77">D277*G277</f>
        <v>1.5985</v>
      </c>
      <c r="F277" s="14"/>
      <c r="G277" s="15">
        <v>0.115</v>
      </c>
      <c r="H277" s="40">
        <v>8.5500000000000007</v>
      </c>
      <c r="I277" s="40">
        <v>0</v>
      </c>
      <c r="J277" s="13">
        <f t="shared" si="63"/>
        <v>3.7515000000000001</v>
      </c>
      <c r="K277" s="13"/>
      <c r="L277" s="15">
        <f t="shared" si="64"/>
        <v>0.08</v>
      </c>
      <c r="M277" s="13">
        <f t="shared" si="65"/>
        <v>1.1120000000000001</v>
      </c>
      <c r="N277" s="13">
        <f t="shared" si="66"/>
        <v>1.1395</v>
      </c>
      <c r="O277" s="15">
        <f t="shared" si="67"/>
        <v>8.1978417266187043E-2</v>
      </c>
      <c r="P277" s="16">
        <f t="shared" si="68"/>
        <v>16.611570247933887</v>
      </c>
      <c r="Q277" s="41">
        <f t="shared" si="69"/>
        <v>0.2</v>
      </c>
      <c r="T277" s="42"/>
      <c r="U277" s="16">
        <f t="shared" si="70"/>
        <v>19.933884297520663</v>
      </c>
      <c r="V277" s="41">
        <f t="shared" si="71"/>
        <v>0.16666666666666663</v>
      </c>
      <c r="W277" s="17">
        <f t="shared" si="72"/>
        <v>0.30083333333333334</v>
      </c>
      <c r="X277" s="41">
        <f t="shared" si="73"/>
        <v>0.2</v>
      </c>
      <c r="Y277" s="43">
        <f t="shared" si="74"/>
        <v>3.3223140495867778</v>
      </c>
      <c r="Z277" s="43">
        <f t="shared" si="75"/>
        <v>16.611570247933887</v>
      </c>
      <c r="AA277" s="44" t="str">
        <f t="shared" si="76"/>
        <v>OK</v>
      </c>
    </row>
    <row r="278" spans="1:27" ht="15" customHeight="1" x14ac:dyDescent="0.25">
      <c r="A278" s="12" t="s">
        <v>465</v>
      </c>
      <c r="B278" s="40">
        <v>2.8</v>
      </c>
      <c r="C278" s="12" t="s">
        <v>466</v>
      </c>
      <c r="D278" s="40">
        <v>17.899999999999999</v>
      </c>
      <c r="E278" s="13">
        <f t="shared" si="77"/>
        <v>2.0585</v>
      </c>
      <c r="F278" s="14"/>
      <c r="G278" s="15">
        <v>0.115</v>
      </c>
      <c r="H278" s="40">
        <v>8.5500000000000007</v>
      </c>
      <c r="I278" s="40">
        <v>0</v>
      </c>
      <c r="J278" s="13">
        <f t="shared" si="63"/>
        <v>7.2914999999999974</v>
      </c>
      <c r="K278" s="13"/>
      <c r="L278" s="15">
        <f t="shared" si="64"/>
        <v>0.08</v>
      </c>
      <c r="M278" s="13">
        <f t="shared" si="65"/>
        <v>1.4319999999999999</v>
      </c>
      <c r="N278" s="13">
        <f t="shared" si="66"/>
        <v>3.0594999999999977</v>
      </c>
      <c r="O278" s="15">
        <f t="shared" si="67"/>
        <v>0.17092178770949709</v>
      </c>
      <c r="P278" s="16">
        <f t="shared" si="68"/>
        <v>18.760330578512399</v>
      </c>
      <c r="Q278" s="41">
        <f t="shared" si="69"/>
        <v>0.20000000000000009</v>
      </c>
      <c r="T278" s="42"/>
      <c r="U278" s="16">
        <f t="shared" si="70"/>
        <v>22.512396694214878</v>
      </c>
      <c r="V278" s="41">
        <f t="shared" si="71"/>
        <v>0.16666666666666663</v>
      </c>
      <c r="W278" s="17">
        <f t="shared" si="72"/>
        <v>0.30083333333333334</v>
      </c>
      <c r="X278" s="41">
        <f t="shared" si="73"/>
        <v>0.20000000000000009</v>
      </c>
      <c r="Y278" s="43">
        <f t="shared" si="74"/>
        <v>3.7520661157024815</v>
      </c>
      <c r="Z278" s="43">
        <f t="shared" si="75"/>
        <v>18.760330578512399</v>
      </c>
      <c r="AA278" s="44" t="str">
        <f t="shared" si="76"/>
        <v>OK</v>
      </c>
    </row>
    <row r="279" spans="1:27" ht="15" customHeight="1" x14ac:dyDescent="0.25">
      <c r="A279" s="12" t="s">
        <v>467</v>
      </c>
      <c r="B279" s="40">
        <v>6.8</v>
      </c>
      <c r="C279" s="12" t="s">
        <v>468</v>
      </c>
      <c r="D279" s="40">
        <v>32.9</v>
      </c>
      <c r="E279" s="13">
        <f t="shared" si="77"/>
        <v>3.7835000000000001</v>
      </c>
      <c r="F279" s="14"/>
      <c r="G279" s="15">
        <v>0.115</v>
      </c>
      <c r="H279" s="40">
        <v>6.55</v>
      </c>
      <c r="I279" s="40">
        <v>0</v>
      </c>
      <c r="J279" s="13">
        <f t="shared" si="63"/>
        <v>22.566499999999998</v>
      </c>
      <c r="K279" s="13"/>
      <c r="L279" s="15">
        <f t="shared" si="64"/>
        <v>0.08</v>
      </c>
      <c r="M279" s="13">
        <f t="shared" si="65"/>
        <v>2.6320000000000001</v>
      </c>
      <c r="N279" s="13">
        <f t="shared" si="66"/>
        <v>13.134499999999997</v>
      </c>
      <c r="O279" s="15">
        <f t="shared" si="67"/>
        <v>0.39922492401215798</v>
      </c>
      <c r="P279" s="16">
        <f t="shared" si="68"/>
        <v>22.06611570247934</v>
      </c>
      <c r="Q279" s="41">
        <f t="shared" si="69"/>
        <v>0.20000000000000009</v>
      </c>
      <c r="T279" s="42"/>
      <c r="U279" s="16">
        <f t="shared" si="70"/>
        <v>26.479338842975206</v>
      </c>
      <c r="V279" s="41">
        <f t="shared" si="71"/>
        <v>0.16666666666666663</v>
      </c>
      <c r="W279" s="17">
        <f t="shared" si="72"/>
        <v>0.30083333333333329</v>
      </c>
      <c r="X279" s="41">
        <f t="shared" si="73"/>
        <v>0.20000000000000009</v>
      </c>
      <c r="Y279" s="43">
        <f t="shared" si="74"/>
        <v>4.4132231404958704</v>
      </c>
      <c r="Z279" s="43">
        <f t="shared" si="75"/>
        <v>22.06611570247934</v>
      </c>
      <c r="AA279" s="44" t="str">
        <f t="shared" si="76"/>
        <v>OK</v>
      </c>
    </row>
    <row r="280" spans="1:27" ht="15" customHeight="1" x14ac:dyDescent="0.25">
      <c r="A280" s="12" t="s">
        <v>469</v>
      </c>
      <c r="B280" s="40">
        <v>4.2</v>
      </c>
      <c r="C280" s="12" t="s">
        <v>470</v>
      </c>
      <c r="D280" s="40">
        <v>24.9</v>
      </c>
      <c r="E280" s="13">
        <f t="shared" si="77"/>
        <v>2.8635000000000002</v>
      </c>
      <c r="F280" s="14"/>
      <c r="G280" s="15">
        <v>0.115</v>
      </c>
      <c r="H280" s="40">
        <v>6.55</v>
      </c>
      <c r="I280" s="40">
        <v>0</v>
      </c>
      <c r="J280" s="13">
        <f t="shared" si="63"/>
        <v>15.486499999999996</v>
      </c>
      <c r="K280" s="13"/>
      <c r="L280" s="15">
        <f t="shared" si="64"/>
        <v>0.08</v>
      </c>
      <c r="M280" s="13">
        <f t="shared" si="65"/>
        <v>1.992</v>
      </c>
      <c r="N280" s="13">
        <f t="shared" si="66"/>
        <v>9.2944999999999958</v>
      </c>
      <c r="O280" s="15">
        <f t="shared" si="67"/>
        <v>0.37327309236947775</v>
      </c>
      <c r="P280" s="16">
        <f t="shared" si="68"/>
        <v>17.768595041322314</v>
      </c>
      <c r="Q280" s="41">
        <f t="shared" si="69"/>
        <v>0.1999999999999999</v>
      </c>
      <c r="T280" s="42"/>
      <c r="U280" s="16">
        <f t="shared" si="70"/>
        <v>21.322314049586776</v>
      </c>
      <c r="V280" s="41">
        <f t="shared" si="71"/>
        <v>0.16666666666666663</v>
      </c>
      <c r="W280" s="17">
        <f t="shared" si="72"/>
        <v>0.30083333333333329</v>
      </c>
      <c r="X280" s="41">
        <f t="shared" si="73"/>
        <v>0.1999999999999999</v>
      </c>
      <c r="Y280" s="43">
        <f t="shared" si="74"/>
        <v>3.5537190082644612</v>
      </c>
      <c r="Z280" s="43">
        <f t="shared" si="75"/>
        <v>17.768595041322314</v>
      </c>
      <c r="AA280" s="44" t="str">
        <f t="shared" si="76"/>
        <v>OK</v>
      </c>
    </row>
    <row r="281" spans="1:27" ht="15" customHeight="1" x14ac:dyDescent="0.25">
      <c r="A281" s="12" t="s">
        <v>471</v>
      </c>
      <c r="B281" s="40">
        <v>5.5</v>
      </c>
      <c r="C281" s="12" t="s">
        <v>472</v>
      </c>
      <c r="D281" s="40">
        <v>29.9</v>
      </c>
      <c r="E281" s="13">
        <f t="shared" si="77"/>
        <v>3.4384999999999999</v>
      </c>
      <c r="F281" s="14"/>
      <c r="G281" s="15">
        <v>0.115</v>
      </c>
      <c r="H281" s="40">
        <v>6.55</v>
      </c>
      <c r="I281" s="40">
        <v>0</v>
      </c>
      <c r="J281" s="13">
        <f t="shared" si="63"/>
        <v>19.911499999999997</v>
      </c>
      <c r="K281" s="13"/>
      <c r="L281" s="15">
        <f t="shared" si="64"/>
        <v>0.08</v>
      </c>
      <c r="M281" s="13">
        <f t="shared" si="65"/>
        <v>2.3919999999999999</v>
      </c>
      <c r="N281" s="13">
        <f t="shared" si="66"/>
        <v>12.019499999999997</v>
      </c>
      <c r="O281" s="15">
        <f t="shared" si="67"/>
        <v>0.40198996655518388</v>
      </c>
      <c r="P281" s="16">
        <f t="shared" si="68"/>
        <v>19.917355371900829</v>
      </c>
      <c r="Q281" s="41">
        <f t="shared" si="69"/>
        <v>0.20000000000000009</v>
      </c>
      <c r="T281" s="42"/>
      <c r="U281" s="16">
        <f t="shared" si="70"/>
        <v>23.900826446280995</v>
      </c>
      <c r="V281" s="41">
        <f t="shared" si="71"/>
        <v>0.16666666666666663</v>
      </c>
      <c r="W281" s="17">
        <f t="shared" si="72"/>
        <v>0.30083333333333334</v>
      </c>
      <c r="X281" s="41">
        <f t="shared" si="73"/>
        <v>0.20000000000000009</v>
      </c>
      <c r="Y281" s="43">
        <f t="shared" si="74"/>
        <v>3.9834710743801676</v>
      </c>
      <c r="Z281" s="43">
        <f t="shared" si="75"/>
        <v>19.917355371900829</v>
      </c>
      <c r="AA281" s="44" t="str">
        <f t="shared" si="76"/>
        <v>OK</v>
      </c>
    </row>
    <row r="282" spans="1:27" ht="15" customHeight="1" x14ac:dyDescent="0.25">
      <c r="A282" s="12" t="s">
        <v>473</v>
      </c>
      <c r="B282" s="40">
        <v>5.69</v>
      </c>
      <c r="C282" s="12" t="s">
        <v>474</v>
      </c>
      <c r="D282" s="40">
        <v>21.9</v>
      </c>
      <c r="E282" s="13">
        <f t="shared" si="77"/>
        <v>3.0660000000000003</v>
      </c>
      <c r="F282" s="14"/>
      <c r="G282" s="15">
        <v>0.14000000000000001</v>
      </c>
      <c r="H282" s="40">
        <v>6.75</v>
      </c>
      <c r="I282" s="40">
        <v>0</v>
      </c>
      <c r="J282" s="13">
        <f t="shared" si="63"/>
        <v>12.084</v>
      </c>
      <c r="K282" s="13"/>
      <c r="L282" s="15">
        <f t="shared" si="64"/>
        <v>0.08</v>
      </c>
      <c r="M282" s="13">
        <f t="shared" si="65"/>
        <v>1.752</v>
      </c>
      <c r="N282" s="13">
        <f t="shared" si="66"/>
        <v>4.6419999999999995</v>
      </c>
      <c r="O282" s="15">
        <f t="shared" si="67"/>
        <v>0.21196347031963469</v>
      </c>
      <c r="P282" s="16">
        <f t="shared" si="68"/>
        <v>21.448275862068964</v>
      </c>
      <c r="Q282" s="41">
        <f t="shared" si="69"/>
        <v>0.19999999999999998</v>
      </c>
      <c r="T282" s="42"/>
      <c r="U282" s="16">
        <f t="shared" si="70"/>
        <v>25.737931034482756</v>
      </c>
      <c r="V282" s="41">
        <f t="shared" si="71"/>
        <v>0.16666666666666663</v>
      </c>
      <c r="W282" s="17">
        <f t="shared" si="72"/>
        <v>0.29666666666666652</v>
      </c>
      <c r="X282" s="41">
        <f t="shared" si="73"/>
        <v>0.19999999999999998</v>
      </c>
      <c r="Y282" s="43">
        <f t="shared" si="74"/>
        <v>4.2896551724137924</v>
      </c>
      <c r="Z282" s="43">
        <f t="shared" si="75"/>
        <v>21.448275862068964</v>
      </c>
      <c r="AA282" s="44" t="str">
        <f t="shared" si="76"/>
        <v>OK</v>
      </c>
    </row>
    <row r="283" spans="1:27" ht="15" customHeight="1" x14ac:dyDescent="0.25">
      <c r="A283" s="12" t="s">
        <v>475</v>
      </c>
      <c r="B283" s="40">
        <v>10.98</v>
      </c>
      <c r="C283" s="12" t="s">
        <v>476</v>
      </c>
      <c r="D283" s="40">
        <v>31.9</v>
      </c>
      <c r="E283" s="13">
        <f t="shared" si="77"/>
        <v>4.4660000000000002</v>
      </c>
      <c r="F283" s="14"/>
      <c r="G283" s="15">
        <v>0.14000000000000001</v>
      </c>
      <c r="H283" s="40">
        <v>6.75</v>
      </c>
      <c r="I283" s="40">
        <v>0</v>
      </c>
      <c r="J283" s="13">
        <f t="shared" si="63"/>
        <v>20.683999999999997</v>
      </c>
      <c r="K283" s="13"/>
      <c r="L283" s="15">
        <f t="shared" si="64"/>
        <v>0.08</v>
      </c>
      <c r="M283" s="13">
        <f t="shared" si="65"/>
        <v>2.552</v>
      </c>
      <c r="N283" s="13">
        <f t="shared" si="66"/>
        <v>7.1519999999999975</v>
      </c>
      <c r="O283" s="15">
        <f t="shared" si="67"/>
        <v>0.22420062695924758</v>
      </c>
      <c r="P283" s="16">
        <f t="shared" si="68"/>
        <v>30.568965517241377</v>
      </c>
      <c r="Q283" s="41">
        <f t="shared" si="69"/>
        <v>0.19999999999999993</v>
      </c>
      <c r="T283" s="42"/>
      <c r="U283" s="16">
        <f t="shared" si="70"/>
        <v>36.682758620689654</v>
      </c>
      <c r="V283" s="41">
        <f t="shared" si="71"/>
        <v>0.16666666666666674</v>
      </c>
      <c r="W283" s="17">
        <f t="shared" si="72"/>
        <v>0.29666666666666663</v>
      </c>
      <c r="X283" s="41">
        <f t="shared" si="73"/>
        <v>0.19999999999999993</v>
      </c>
      <c r="Y283" s="43">
        <f t="shared" si="74"/>
        <v>6.1137931034482733</v>
      </c>
      <c r="Z283" s="43">
        <f t="shared" si="75"/>
        <v>30.568965517241377</v>
      </c>
      <c r="AA283" s="44" t="str">
        <f t="shared" si="76"/>
        <v>OK</v>
      </c>
    </row>
    <row r="284" spans="1:27" ht="15" customHeight="1" x14ac:dyDescent="0.25">
      <c r="A284" s="12" t="s">
        <v>477</v>
      </c>
      <c r="B284" s="40">
        <v>13.55</v>
      </c>
      <c r="C284" s="12" t="s">
        <v>478</v>
      </c>
      <c r="D284" s="40">
        <v>33.9</v>
      </c>
      <c r="E284" s="13">
        <f t="shared" si="77"/>
        <v>3.8984999999999999</v>
      </c>
      <c r="F284" s="14"/>
      <c r="G284" s="15">
        <v>0.115</v>
      </c>
      <c r="H284" s="40">
        <v>6.75</v>
      </c>
      <c r="I284" s="40">
        <v>0</v>
      </c>
      <c r="J284" s="13">
        <f t="shared" si="63"/>
        <v>23.2515</v>
      </c>
      <c r="K284" s="13"/>
      <c r="L284" s="15">
        <f t="shared" si="64"/>
        <v>0.08</v>
      </c>
      <c r="M284" s="13">
        <f t="shared" si="65"/>
        <v>2.7119999999999997</v>
      </c>
      <c r="N284" s="13">
        <f t="shared" si="66"/>
        <v>6.9894999999999996</v>
      </c>
      <c r="O284" s="15">
        <f t="shared" si="67"/>
        <v>0.20617994100294984</v>
      </c>
      <c r="P284" s="16">
        <f t="shared" si="68"/>
        <v>33.553719008264466</v>
      </c>
      <c r="Q284" s="41">
        <f t="shared" si="69"/>
        <v>0.19999999999999998</v>
      </c>
      <c r="T284" s="42"/>
      <c r="U284" s="16">
        <f t="shared" si="70"/>
        <v>40.264462809917354</v>
      </c>
      <c r="V284" s="41">
        <f t="shared" si="71"/>
        <v>0.16666666666666663</v>
      </c>
      <c r="W284" s="17">
        <f t="shared" si="72"/>
        <v>0.30083333333333334</v>
      </c>
      <c r="X284" s="41">
        <f t="shared" si="73"/>
        <v>0.19999999999999998</v>
      </c>
      <c r="Y284" s="43">
        <f t="shared" si="74"/>
        <v>6.7107438016528924</v>
      </c>
      <c r="Z284" s="43">
        <f t="shared" si="75"/>
        <v>33.553719008264466</v>
      </c>
      <c r="AA284" s="44" t="str">
        <f t="shared" si="76"/>
        <v>OK</v>
      </c>
    </row>
    <row r="285" spans="1:27" ht="15" customHeight="1" x14ac:dyDescent="0.25">
      <c r="A285" s="12" t="s">
        <v>479</v>
      </c>
      <c r="B285" s="40">
        <v>11.87</v>
      </c>
      <c r="C285" s="12" t="s">
        <v>480</v>
      </c>
      <c r="D285" s="40">
        <v>33.9</v>
      </c>
      <c r="E285" s="13">
        <f t="shared" si="77"/>
        <v>3.8984999999999999</v>
      </c>
      <c r="F285" s="14"/>
      <c r="G285" s="15">
        <v>0.115</v>
      </c>
      <c r="H285" s="40">
        <v>6.75</v>
      </c>
      <c r="I285" s="40">
        <v>0</v>
      </c>
      <c r="J285" s="13">
        <f t="shared" si="63"/>
        <v>23.2515</v>
      </c>
      <c r="K285" s="13"/>
      <c r="L285" s="15">
        <f t="shared" si="64"/>
        <v>0.08</v>
      </c>
      <c r="M285" s="13">
        <f t="shared" si="65"/>
        <v>2.7119999999999997</v>
      </c>
      <c r="N285" s="13">
        <f t="shared" si="66"/>
        <v>8.6695000000000011</v>
      </c>
      <c r="O285" s="15">
        <f t="shared" si="67"/>
        <v>0.2557374631268437</v>
      </c>
      <c r="P285" s="16">
        <f t="shared" si="68"/>
        <v>30.776859504132229</v>
      </c>
      <c r="Q285" s="41">
        <f t="shared" si="69"/>
        <v>0.20000000000000004</v>
      </c>
      <c r="T285" s="42"/>
      <c r="U285" s="16">
        <f t="shared" si="70"/>
        <v>36.932231404958671</v>
      </c>
      <c r="V285" s="41">
        <f t="shared" si="71"/>
        <v>0.16666666666666652</v>
      </c>
      <c r="W285" s="17">
        <f t="shared" si="72"/>
        <v>0.30083333333333323</v>
      </c>
      <c r="X285" s="41">
        <f t="shared" si="73"/>
        <v>0.20000000000000004</v>
      </c>
      <c r="Y285" s="43">
        <f t="shared" si="74"/>
        <v>6.1553719008264469</v>
      </c>
      <c r="Z285" s="43">
        <f t="shared" si="75"/>
        <v>30.776859504132229</v>
      </c>
      <c r="AA285" s="44" t="str">
        <f t="shared" si="76"/>
        <v>OK</v>
      </c>
    </row>
    <row r="286" spans="1:27" ht="15" customHeight="1" x14ac:dyDescent="0.25">
      <c r="A286" s="12" t="s">
        <v>481</v>
      </c>
      <c r="B286" s="40">
        <v>10.98</v>
      </c>
      <c r="C286" s="12" t="s">
        <v>482</v>
      </c>
      <c r="D286" s="40">
        <v>31.9</v>
      </c>
      <c r="E286" s="13">
        <f t="shared" si="77"/>
        <v>4.4660000000000002</v>
      </c>
      <c r="F286" s="14"/>
      <c r="G286" s="15">
        <v>0.14000000000000001</v>
      </c>
      <c r="H286" s="40">
        <v>6.75</v>
      </c>
      <c r="I286" s="40">
        <v>0</v>
      </c>
      <c r="J286" s="13">
        <f t="shared" si="63"/>
        <v>20.683999999999997</v>
      </c>
      <c r="K286" s="13"/>
      <c r="L286" s="15">
        <f t="shared" si="64"/>
        <v>0.08</v>
      </c>
      <c r="M286" s="13">
        <f t="shared" si="65"/>
        <v>2.552</v>
      </c>
      <c r="N286" s="13">
        <f t="shared" si="66"/>
        <v>7.1519999999999975</v>
      </c>
      <c r="O286" s="15">
        <f t="shared" si="67"/>
        <v>0.22420062695924758</v>
      </c>
      <c r="P286" s="16">
        <f t="shared" si="68"/>
        <v>30.568965517241377</v>
      </c>
      <c r="Q286" s="41">
        <f t="shared" si="69"/>
        <v>0.19999999999999993</v>
      </c>
      <c r="T286" s="42"/>
      <c r="U286" s="16">
        <f t="shared" si="70"/>
        <v>36.682758620689654</v>
      </c>
      <c r="V286" s="41">
        <f t="shared" si="71"/>
        <v>0.16666666666666674</v>
      </c>
      <c r="W286" s="17">
        <f t="shared" si="72"/>
        <v>0.29666666666666663</v>
      </c>
      <c r="X286" s="41">
        <f t="shared" si="73"/>
        <v>0.19999999999999993</v>
      </c>
      <c r="Y286" s="43">
        <f t="shared" si="74"/>
        <v>6.1137931034482733</v>
      </c>
      <c r="Z286" s="43">
        <f t="shared" si="75"/>
        <v>30.568965517241377</v>
      </c>
      <c r="AA286" s="44" t="str">
        <f t="shared" si="76"/>
        <v>OK</v>
      </c>
    </row>
    <row r="287" spans="1:27" ht="15" customHeight="1" x14ac:dyDescent="0.25">
      <c r="A287" s="12" t="s">
        <v>483</v>
      </c>
      <c r="B287" s="40">
        <v>5.69</v>
      </c>
      <c r="C287" s="12" t="s">
        <v>484</v>
      </c>
      <c r="D287" s="40">
        <v>21.9</v>
      </c>
      <c r="E287" s="13">
        <f t="shared" si="77"/>
        <v>3.0660000000000003</v>
      </c>
      <c r="F287" s="14"/>
      <c r="G287" s="15">
        <v>0.14000000000000001</v>
      </c>
      <c r="H287" s="40">
        <v>6.75</v>
      </c>
      <c r="I287" s="40">
        <v>0</v>
      </c>
      <c r="J287" s="13">
        <f t="shared" si="63"/>
        <v>12.084</v>
      </c>
      <c r="K287" s="13"/>
      <c r="L287" s="15">
        <f t="shared" si="64"/>
        <v>0.08</v>
      </c>
      <c r="M287" s="13">
        <f t="shared" si="65"/>
        <v>1.752</v>
      </c>
      <c r="N287" s="13">
        <f t="shared" si="66"/>
        <v>4.6419999999999995</v>
      </c>
      <c r="O287" s="15">
        <f t="shared" si="67"/>
        <v>0.21196347031963469</v>
      </c>
      <c r="P287" s="16">
        <f t="shared" si="68"/>
        <v>21.448275862068964</v>
      </c>
      <c r="Q287" s="41">
        <f t="shared" si="69"/>
        <v>0.19999999999999998</v>
      </c>
      <c r="T287" s="42"/>
      <c r="U287" s="16">
        <f t="shared" si="70"/>
        <v>25.737931034482756</v>
      </c>
      <c r="V287" s="41">
        <f t="shared" si="71"/>
        <v>0.16666666666666663</v>
      </c>
      <c r="W287" s="17">
        <f t="shared" si="72"/>
        <v>0.29666666666666652</v>
      </c>
      <c r="X287" s="41">
        <f t="shared" si="73"/>
        <v>0.19999999999999998</v>
      </c>
      <c r="Y287" s="43">
        <f t="shared" si="74"/>
        <v>4.2896551724137924</v>
      </c>
      <c r="Z287" s="43">
        <f t="shared" si="75"/>
        <v>21.448275862068964</v>
      </c>
      <c r="AA287" s="44" t="str">
        <f t="shared" si="76"/>
        <v>OK</v>
      </c>
    </row>
    <row r="288" spans="1:27" ht="15" customHeight="1" x14ac:dyDescent="0.25">
      <c r="A288" s="12" t="s">
        <v>485</v>
      </c>
      <c r="B288" s="40">
        <v>60.17</v>
      </c>
      <c r="C288" s="12" t="s">
        <v>486</v>
      </c>
      <c r="D288" s="40">
        <v>207.8</v>
      </c>
      <c r="E288" s="13">
        <f t="shared" si="77"/>
        <v>21.818999999999999</v>
      </c>
      <c r="F288" s="14"/>
      <c r="G288" s="15">
        <v>0.105</v>
      </c>
      <c r="H288" s="40">
        <v>0</v>
      </c>
      <c r="I288" s="40">
        <v>68.650000000000006</v>
      </c>
      <c r="J288" s="13">
        <f t="shared" si="63"/>
        <v>117.33100000000002</v>
      </c>
      <c r="K288" s="13"/>
      <c r="L288" s="15">
        <f t="shared" si="64"/>
        <v>0.08</v>
      </c>
      <c r="M288" s="13">
        <f t="shared" si="65"/>
        <v>16.624000000000002</v>
      </c>
      <c r="N288" s="13">
        <f t="shared" si="66"/>
        <v>40.537000000000013</v>
      </c>
      <c r="O288" s="15">
        <f t="shared" si="67"/>
        <v>0.19507699711260834</v>
      </c>
      <c r="P288" s="16">
        <f t="shared" si="68"/>
        <v>209.46341463414635</v>
      </c>
      <c r="Q288" s="41">
        <f t="shared" si="69"/>
        <v>0.19999999999999998</v>
      </c>
      <c r="T288" s="42"/>
      <c r="U288" s="16">
        <f t="shared" si="70"/>
        <v>251.3560975609756</v>
      </c>
      <c r="V288" s="41">
        <f t="shared" si="71"/>
        <v>0.16666666666666663</v>
      </c>
      <c r="W288" s="17">
        <f t="shared" si="72"/>
        <v>0.30249999999999994</v>
      </c>
      <c r="X288" s="41">
        <f t="shared" si="73"/>
        <v>0.19999999999999998</v>
      </c>
      <c r="Y288" s="43">
        <f t="shared" si="74"/>
        <v>41.892682926829266</v>
      </c>
      <c r="Z288" s="43">
        <f t="shared" si="75"/>
        <v>209.46341463414635</v>
      </c>
      <c r="AA288" s="44" t="str">
        <f t="shared" si="76"/>
        <v>OK</v>
      </c>
    </row>
    <row r="289" spans="1:27" ht="15" customHeight="1" x14ac:dyDescent="0.25">
      <c r="A289" s="12" t="s">
        <v>487</v>
      </c>
      <c r="B289" s="40">
        <v>7.65</v>
      </c>
      <c r="C289" s="12" t="s">
        <v>488</v>
      </c>
      <c r="D289" s="40">
        <v>25.9</v>
      </c>
      <c r="E289" s="13">
        <f t="shared" si="77"/>
        <v>3.6260000000000003</v>
      </c>
      <c r="F289" s="14"/>
      <c r="G289" s="15">
        <v>0.14000000000000001</v>
      </c>
      <c r="H289" s="40">
        <v>6.75</v>
      </c>
      <c r="I289" s="40">
        <v>0</v>
      </c>
      <c r="J289" s="13">
        <f t="shared" si="63"/>
        <v>15.523999999999997</v>
      </c>
      <c r="K289" s="13"/>
      <c r="L289" s="15">
        <f t="shared" si="64"/>
        <v>0.08</v>
      </c>
      <c r="M289" s="13">
        <f t="shared" si="65"/>
        <v>2.0720000000000001</v>
      </c>
      <c r="N289" s="13">
        <f t="shared" si="66"/>
        <v>5.8019999999999969</v>
      </c>
      <c r="O289" s="15">
        <f t="shared" si="67"/>
        <v>0.2240154440154439</v>
      </c>
      <c r="P289" s="16">
        <f t="shared" si="68"/>
        <v>24.827586206896548</v>
      </c>
      <c r="Q289" s="41">
        <f t="shared" si="69"/>
        <v>0.19999999999999979</v>
      </c>
      <c r="T289" s="42"/>
      <c r="U289" s="16">
        <f t="shared" si="70"/>
        <v>29.793103448275858</v>
      </c>
      <c r="V289" s="41">
        <f t="shared" si="71"/>
        <v>0.16666666666666663</v>
      </c>
      <c r="W289" s="17">
        <f t="shared" si="72"/>
        <v>0.29666666666666652</v>
      </c>
      <c r="X289" s="41">
        <f t="shared" si="73"/>
        <v>0.19999999999999979</v>
      </c>
      <c r="Y289" s="43">
        <f t="shared" si="74"/>
        <v>4.9655172413793043</v>
      </c>
      <c r="Z289" s="43">
        <f t="shared" si="75"/>
        <v>24.827586206896548</v>
      </c>
      <c r="AA289" s="44" t="str">
        <f t="shared" si="76"/>
        <v>OK</v>
      </c>
    </row>
    <row r="290" spans="1:27" ht="15" customHeight="1" x14ac:dyDescent="0.25">
      <c r="A290" s="12" t="s">
        <v>485</v>
      </c>
      <c r="B290" s="40">
        <v>60.17</v>
      </c>
      <c r="C290" s="12" t="s">
        <v>489</v>
      </c>
      <c r="D290" s="40">
        <v>239.9</v>
      </c>
      <c r="E290" s="14"/>
      <c r="F290" s="13">
        <f>D290*G290</f>
        <v>32.386500000000005</v>
      </c>
      <c r="G290" s="15">
        <v>0.13500000000000001</v>
      </c>
      <c r="H290" s="40">
        <v>0</v>
      </c>
      <c r="I290" s="40">
        <v>68.650000000000006</v>
      </c>
      <c r="J290" s="13">
        <f t="shared" si="63"/>
        <v>138.86349999999999</v>
      </c>
      <c r="K290" s="13"/>
      <c r="L290" s="15">
        <f t="shared" si="64"/>
        <v>0.08</v>
      </c>
      <c r="M290" s="13">
        <f t="shared" si="65"/>
        <v>19.192</v>
      </c>
      <c r="N290" s="13">
        <f t="shared" si="66"/>
        <v>59.501499999999986</v>
      </c>
      <c r="O290" s="15">
        <f t="shared" si="67"/>
        <v>0.24802626094205912</v>
      </c>
      <c r="P290" s="16">
        <f t="shared" si="68"/>
        <v>220.2051282051282</v>
      </c>
      <c r="Q290" s="41">
        <f t="shared" si="69"/>
        <v>0.19999999999999993</v>
      </c>
      <c r="T290" s="42"/>
      <c r="U290" s="16">
        <f t="shared" si="70"/>
        <v>264.24615384615385</v>
      </c>
      <c r="V290" s="41">
        <f t="shared" si="71"/>
        <v>0.16666666666666663</v>
      </c>
      <c r="W290" s="17">
        <f t="shared" si="72"/>
        <v>0.29749999999999993</v>
      </c>
      <c r="X290" s="41">
        <f t="shared" si="73"/>
        <v>0.19999999999999993</v>
      </c>
      <c r="Y290" s="43">
        <f t="shared" si="74"/>
        <v>44.041025641025627</v>
      </c>
      <c r="Z290" s="43">
        <f t="shared" si="75"/>
        <v>220.2051282051282</v>
      </c>
      <c r="AA290" s="44" t="str">
        <f t="shared" si="76"/>
        <v>OK</v>
      </c>
    </row>
    <row r="291" spans="1:27" ht="15" customHeight="1" x14ac:dyDescent="0.25">
      <c r="A291" s="12" t="s">
        <v>490</v>
      </c>
      <c r="B291" s="40">
        <v>4.05</v>
      </c>
      <c r="C291" s="12" t="s">
        <v>491</v>
      </c>
      <c r="D291" s="40">
        <v>17.899999999999999</v>
      </c>
      <c r="E291" s="13">
        <f>D291*G291</f>
        <v>2.5060000000000002</v>
      </c>
      <c r="F291" s="14"/>
      <c r="G291" s="15">
        <v>0.14000000000000001</v>
      </c>
      <c r="H291" s="40">
        <v>8.5500000000000007</v>
      </c>
      <c r="I291" s="40">
        <v>0</v>
      </c>
      <c r="J291" s="13">
        <f t="shared" si="63"/>
        <v>6.8439999999999976</v>
      </c>
      <c r="K291" s="13"/>
      <c r="L291" s="15">
        <f t="shared" si="64"/>
        <v>0.08</v>
      </c>
      <c r="M291" s="13">
        <f t="shared" si="65"/>
        <v>1.4319999999999999</v>
      </c>
      <c r="N291" s="13">
        <f t="shared" si="66"/>
        <v>1.3619999999999979</v>
      </c>
      <c r="O291" s="15">
        <f t="shared" si="67"/>
        <v>7.6089385474860216E-2</v>
      </c>
      <c r="P291" s="16">
        <f t="shared" si="68"/>
        <v>21.724137931034484</v>
      </c>
      <c r="Q291" s="41">
        <f t="shared" si="69"/>
        <v>0.19999999999999987</v>
      </c>
      <c r="T291" s="42"/>
      <c r="U291" s="16">
        <f t="shared" si="70"/>
        <v>26.068965517241381</v>
      </c>
      <c r="V291" s="41">
        <f t="shared" si="71"/>
        <v>0.16666666666666663</v>
      </c>
      <c r="W291" s="17">
        <f t="shared" si="72"/>
        <v>0.29666666666666663</v>
      </c>
      <c r="X291" s="41">
        <f t="shared" si="73"/>
        <v>0.19999999999999987</v>
      </c>
      <c r="Y291" s="43">
        <f t="shared" si="74"/>
        <v>4.3448275862068941</v>
      </c>
      <c r="Z291" s="43">
        <f t="shared" si="75"/>
        <v>21.724137931034484</v>
      </c>
      <c r="AA291" s="44" t="str">
        <f t="shared" si="76"/>
        <v>OK</v>
      </c>
    </row>
    <row r="292" spans="1:27" ht="15" customHeight="1" x14ac:dyDescent="0.25">
      <c r="A292" s="12" t="s">
        <v>492</v>
      </c>
      <c r="B292" s="40">
        <v>42.9</v>
      </c>
      <c r="C292" s="12" t="s">
        <v>493</v>
      </c>
      <c r="D292" s="40">
        <v>98.9</v>
      </c>
      <c r="E292" s="13">
        <f>D292*G292</f>
        <v>10.879000000000001</v>
      </c>
      <c r="F292" s="14"/>
      <c r="G292" s="15">
        <v>0.11</v>
      </c>
      <c r="H292" s="40">
        <v>0</v>
      </c>
      <c r="I292" s="40">
        <v>14.15</v>
      </c>
      <c r="J292" s="13">
        <f t="shared" si="63"/>
        <v>73.870999999999995</v>
      </c>
      <c r="K292" s="13"/>
      <c r="L292" s="15">
        <f t="shared" si="64"/>
        <v>0.08</v>
      </c>
      <c r="M292" s="13">
        <f t="shared" si="65"/>
        <v>7.9120000000000008</v>
      </c>
      <c r="N292" s="13">
        <f t="shared" si="66"/>
        <v>23.058999999999997</v>
      </c>
      <c r="O292" s="15">
        <f t="shared" si="67"/>
        <v>0.23315470171890795</v>
      </c>
      <c r="P292" s="16">
        <f t="shared" si="68"/>
        <v>70.327868852459005</v>
      </c>
      <c r="Q292" s="41">
        <f t="shared" si="69"/>
        <v>0.19999999999999993</v>
      </c>
      <c r="T292" s="42"/>
      <c r="U292" s="16">
        <f t="shared" si="70"/>
        <v>84.393442622950801</v>
      </c>
      <c r="V292" s="41">
        <f t="shared" si="71"/>
        <v>0.16666666666666663</v>
      </c>
      <c r="W292" s="17">
        <f t="shared" si="72"/>
        <v>0.1339996114996114</v>
      </c>
      <c r="X292" s="41">
        <f t="shared" si="73"/>
        <v>0.19999999999999993</v>
      </c>
      <c r="Y292" s="43">
        <f t="shared" si="74"/>
        <v>14.065573770491795</v>
      </c>
      <c r="Z292" s="43">
        <f t="shared" si="75"/>
        <v>70.327868852459005</v>
      </c>
      <c r="AA292" s="44" t="str">
        <f t="shared" si="76"/>
        <v>OK</v>
      </c>
    </row>
    <row r="293" spans="1:27" ht="15" customHeight="1" x14ac:dyDescent="0.25">
      <c r="A293" s="12" t="s">
        <v>494</v>
      </c>
      <c r="B293" s="40">
        <v>42.9</v>
      </c>
      <c r="C293" s="12" t="s">
        <v>495</v>
      </c>
      <c r="D293" s="40">
        <v>97.9</v>
      </c>
      <c r="E293" s="13">
        <f>D293*G293</f>
        <v>10.769</v>
      </c>
      <c r="F293" s="14"/>
      <c r="G293" s="15">
        <v>0.11</v>
      </c>
      <c r="H293" s="40">
        <v>0</v>
      </c>
      <c r="I293" s="40">
        <v>14.15</v>
      </c>
      <c r="J293" s="13">
        <f t="shared" si="63"/>
        <v>72.980999999999995</v>
      </c>
      <c r="K293" s="13"/>
      <c r="L293" s="15">
        <f t="shared" si="64"/>
        <v>0.08</v>
      </c>
      <c r="M293" s="13">
        <f t="shared" si="65"/>
        <v>7.8320000000000007</v>
      </c>
      <c r="N293" s="13">
        <f t="shared" si="66"/>
        <v>22.248999999999995</v>
      </c>
      <c r="O293" s="15">
        <f t="shared" si="67"/>
        <v>0.22726251276813067</v>
      </c>
      <c r="P293" s="16">
        <f t="shared" si="68"/>
        <v>70.327868852459005</v>
      </c>
      <c r="Q293" s="41">
        <f t="shared" si="69"/>
        <v>0.19999999999999993</v>
      </c>
      <c r="T293" s="42"/>
      <c r="U293" s="16">
        <f t="shared" si="70"/>
        <v>84.393442622950801</v>
      </c>
      <c r="V293" s="41">
        <f t="shared" si="71"/>
        <v>0.16666666666666663</v>
      </c>
      <c r="W293" s="17">
        <f t="shared" si="72"/>
        <v>0.1339996114996114</v>
      </c>
      <c r="X293" s="41">
        <f t="shared" si="73"/>
        <v>0.19999999999999993</v>
      </c>
      <c r="Y293" s="43">
        <f t="shared" si="74"/>
        <v>14.065573770491795</v>
      </c>
      <c r="Z293" s="43">
        <f t="shared" si="75"/>
        <v>70.327868852459005</v>
      </c>
      <c r="AA293" s="44" t="str">
        <f t="shared" si="76"/>
        <v>OK</v>
      </c>
    </row>
    <row r="294" spans="1:27" ht="15" customHeight="1" x14ac:dyDescent="0.25">
      <c r="A294" s="12" t="s">
        <v>496</v>
      </c>
      <c r="B294" s="40">
        <v>42.9</v>
      </c>
      <c r="C294" s="12" t="s">
        <v>497</v>
      </c>
      <c r="D294" s="40">
        <v>96.9</v>
      </c>
      <c r="E294" s="13">
        <f>D294*G294</f>
        <v>10.659000000000001</v>
      </c>
      <c r="F294" s="14"/>
      <c r="G294" s="15">
        <v>0.11</v>
      </c>
      <c r="H294" s="40">
        <v>0</v>
      </c>
      <c r="I294" s="40">
        <v>14.15</v>
      </c>
      <c r="J294" s="13">
        <f t="shared" si="63"/>
        <v>72.090999999999994</v>
      </c>
      <c r="K294" s="13"/>
      <c r="L294" s="15">
        <f t="shared" si="64"/>
        <v>0.08</v>
      </c>
      <c r="M294" s="13">
        <f t="shared" si="65"/>
        <v>7.7520000000000007</v>
      </c>
      <c r="N294" s="13">
        <f t="shared" si="66"/>
        <v>21.438999999999993</v>
      </c>
      <c r="O294" s="15">
        <f t="shared" si="67"/>
        <v>0.22124871001031984</v>
      </c>
      <c r="P294" s="16">
        <f t="shared" si="68"/>
        <v>70.327868852459005</v>
      </c>
      <c r="Q294" s="41">
        <f t="shared" si="69"/>
        <v>0.19999999999999993</v>
      </c>
      <c r="T294" s="42"/>
      <c r="U294" s="16">
        <f t="shared" si="70"/>
        <v>84.393442622950801</v>
      </c>
      <c r="V294" s="41">
        <f t="shared" si="71"/>
        <v>0.16666666666666663</v>
      </c>
      <c r="W294" s="17">
        <f t="shared" si="72"/>
        <v>0.1339996114996114</v>
      </c>
      <c r="X294" s="41">
        <f t="shared" si="73"/>
        <v>0.19999999999999993</v>
      </c>
      <c r="Y294" s="43">
        <f t="shared" si="74"/>
        <v>14.065573770491795</v>
      </c>
      <c r="Z294" s="43">
        <f t="shared" si="75"/>
        <v>70.327868852459005</v>
      </c>
      <c r="AA294" s="44" t="str">
        <f t="shared" si="76"/>
        <v>OK</v>
      </c>
    </row>
    <row r="295" spans="1:27" ht="15" customHeight="1" x14ac:dyDescent="0.25">
      <c r="A295" s="12" t="s">
        <v>498</v>
      </c>
      <c r="B295" s="45" t="s">
        <v>32</v>
      </c>
      <c r="C295" s="12" t="s">
        <v>499</v>
      </c>
      <c r="D295" s="40">
        <v>226.61</v>
      </c>
      <c r="E295" s="13">
        <f>D295*G295</f>
        <v>23.794050000000002</v>
      </c>
      <c r="F295" s="14"/>
      <c r="G295" s="15">
        <v>0.105</v>
      </c>
      <c r="H295" s="40">
        <v>0</v>
      </c>
      <c r="I295" s="40">
        <v>48.05</v>
      </c>
      <c r="J295" s="13">
        <f t="shared" si="63"/>
        <v>154.76595000000003</v>
      </c>
      <c r="K295" s="14"/>
      <c r="L295" s="15">
        <f t="shared" si="64"/>
        <v>0.08</v>
      </c>
      <c r="M295" s="13">
        <f t="shared" si="65"/>
        <v>18.128800000000002</v>
      </c>
      <c r="N295" s="13">
        <f t="shared" si="66"/>
        <v>136.63715000000002</v>
      </c>
      <c r="O295" s="15">
        <f t="shared" si="67"/>
        <v>0.6029616963064296</v>
      </c>
      <c r="P295" s="16" t="str">
        <f t="shared" si="68"/>
        <v/>
      </c>
      <c r="Q295" s="41" t="str">
        <f t="shared" si="69"/>
        <v/>
      </c>
      <c r="T295" s="42"/>
      <c r="U295" s="16" t="str">
        <f t="shared" si="70"/>
        <v/>
      </c>
      <c r="V295" s="41" t="str">
        <f t="shared" si="71"/>
        <v/>
      </c>
      <c r="W295" s="17" t="str">
        <f t="shared" si="72"/>
        <v/>
      </c>
      <c r="X295" s="41" t="str">
        <f t="shared" si="73"/>
        <v/>
      </c>
      <c r="Y295" s="43" t="str">
        <f t="shared" si="74"/>
        <v/>
      </c>
      <c r="Z295" s="43" t="str">
        <f t="shared" si="75"/>
        <v/>
      </c>
      <c r="AA295" s="44" t="str">
        <f t="shared" si="76"/>
        <v>Sem custo</v>
      </c>
    </row>
    <row r="296" spans="1:27" ht="15" customHeight="1" x14ac:dyDescent="0.25">
      <c r="A296" s="12" t="s">
        <v>498</v>
      </c>
      <c r="B296" s="45" t="s">
        <v>32</v>
      </c>
      <c r="C296" s="12" t="s">
        <v>500</v>
      </c>
      <c r="D296" s="40">
        <v>242.41</v>
      </c>
      <c r="E296" s="14"/>
      <c r="F296" s="13">
        <f>D296*G296</f>
        <v>32.725349999999999</v>
      </c>
      <c r="G296" s="15">
        <v>0.13500000000000001</v>
      </c>
      <c r="H296" s="40">
        <v>0</v>
      </c>
      <c r="I296" s="40">
        <v>48.05</v>
      </c>
      <c r="J296" s="13">
        <f t="shared" si="63"/>
        <v>161.63465000000002</v>
      </c>
      <c r="K296" s="14"/>
      <c r="L296" s="15">
        <f t="shared" si="64"/>
        <v>0.08</v>
      </c>
      <c r="M296" s="13">
        <f t="shared" si="65"/>
        <v>19.392800000000001</v>
      </c>
      <c r="N296" s="13">
        <f t="shared" si="66"/>
        <v>142.24185000000003</v>
      </c>
      <c r="O296" s="15">
        <f t="shared" si="67"/>
        <v>0.58678210469865122</v>
      </c>
      <c r="P296" s="16" t="str">
        <f t="shared" si="68"/>
        <v/>
      </c>
      <c r="Q296" s="41" t="str">
        <f t="shared" si="69"/>
        <v/>
      </c>
      <c r="T296" s="42"/>
      <c r="U296" s="16" t="str">
        <f t="shared" si="70"/>
        <v/>
      </c>
      <c r="V296" s="41" t="str">
        <f t="shared" si="71"/>
        <v/>
      </c>
      <c r="W296" s="17" t="str">
        <f t="shared" si="72"/>
        <v/>
      </c>
      <c r="X296" s="41" t="str">
        <f t="shared" si="73"/>
        <v/>
      </c>
      <c r="Y296" s="43" t="str">
        <f t="shared" si="74"/>
        <v/>
      </c>
      <c r="Z296" s="43" t="str">
        <f t="shared" si="75"/>
        <v/>
      </c>
      <c r="AA296" s="44" t="str">
        <f t="shared" si="76"/>
        <v>Sem custo</v>
      </c>
    </row>
    <row r="297" spans="1:27" ht="15" customHeight="1" x14ac:dyDescent="0.25">
      <c r="A297" s="12" t="s">
        <v>501</v>
      </c>
      <c r="B297" s="45" t="s">
        <v>32</v>
      </c>
      <c r="C297" s="12" t="s">
        <v>502</v>
      </c>
      <c r="D297" s="40">
        <v>216.71</v>
      </c>
      <c r="E297" s="13">
        <f>D297*G297</f>
        <v>22.754549999999998</v>
      </c>
      <c r="F297" s="14"/>
      <c r="G297" s="15">
        <v>0.105</v>
      </c>
      <c r="H297" s="40">
        <v>0</v>
      </c>
      <c r="I297" s="40">
        <v>48.05</v>
      </c>
      <c r="J297" s="13">
        <f t="shared" si="63"/>
        <v>145.90545000000003</v>
      </c>
      <c r="K297" s="14"/>
      <c r="L297" s="15">
        <f t="shared" si="64"/>
        <v>0.08</v>
      </c>
      <c r="M297" s="13">
        <f t="shared" si="65"/>
        <v>17.3368</v>
      </c>
      <c r="N297" s="13">
        <f t="shared" si="66"/>
        <v>128.56865000000002</v>
      </c>
      <c r="O297" s="15">
        <f t="shared" si="67"/>
        <v>0.59327511420792767</v>
      </c>
      <c r="P297" s="16" t="str">
        <f t="shared" si="68"/>
        <v/>
      </c>
      <c r="Q297" s="41" t="str">
        <f t="shared" si="69"/>
        <v/>
      </c>
      <c r="T297" s="42"/>
      <c r="U297" s="16" t="str">
        <f t="shared" si="70"/>
        <v/>
      </c>
      <c r="V297" s="41" t="str">
        <f t="shared" si="71"/>
        <v/>
      </c>
      <c r="W297" s="17" t="str">
        <f t="shared" si="72"/>
        <v/>
      </c>
      <c r="X297" s="41" t="str">
        <f t="shared" si="73"/>
        <v/>
      </c>
      <c r="Y297" s="43" t="str">
        <f t="shared" si="74"/>
        <v/>
      </c>
      <c r="Z297" s="43" t="str">
        <f t="shared" si="75"/>
        <v/>
      </c>
      <c r="AA297" s="44" t="str">
        <f t="shared" si="76"/>
        <v>Sem custo</v>
      </c>
    </row>
    <row r="298" spans="1:27" ht="15" customHeight="1" x14ac:dyDescent="0.25">
      <c r="A298" s="12" t="s">
        <v>501</v>
      </c>
      <c r="B298" s="45" t="s">
        <v>32</v>
      </c>
      <c r="C298" s="12" t="s">
        <v>503</v>
      </c>
      <c r="D298" s="40">
        <v>232.71</v>
      </c>
      <c r="E298" s="14"/>
      <c r="F298" s="13">
        <f>D298*G298</f>
        <v>31.415850000000002</v>
      </c>
      <c r="G298" s="15">
        <v>0.13500000000000001</v>
      </c>
      <c r="H298" s="40">
        <v>0</v>
      </c>
      <c r="I298" s="40">
        <v>48.05</v>
      </c>
      <c r="J298" s="13">
        <f t="shared" si="63"/>
        <v>153.24414999999999</v>
      </c>
      <c r="K298" s="14"/>
      <c r="L298" s="15">
        <f t="shared" si="64"/>
        <v>0.08</v>
      </c>
      <c r="M298" s="13">
        <f t="shared" si="65"/>
        <v>18.616800000000001</v>
      </c>
      <c r="N298" s="13">
        <f t="shared" si="66"/>
        <v>134.62734999999998</v>
      </c>
      <c r="O298" s="15">
        <f t="shared" si="67"/>
        <v>0.57851983154999775</v>
      </c>
      <c r="P298" s="16" t="str">
        <f t="shared" si="68"/>
        <v/>
      </c>
      <c r="Q298" s="41" t="str">
        <f t="shared" si="69"/>
        <v/>
      </c>
      <c r="T298" s="42"/>
      <c r="U298" s="16" t="str">
        <f t="shared" si="70"/>
        <v/>
      </c>
      <c r="V298" s="41" t="str">
        <f t="shared" si="71"/>
        <v/>
      </c>
      <c r="W298" s="17" t="str">
        <f t="shared" si="72"/>
        <v/>
      </c>
      <c r="X298" s="41" t="str">
        <f t="shared" si="73"/>
        <v/>
      </c>
      <c r="Y298" s="43" t="str">
        <f t="shared" si="74"/>
        <v/>
      </c>
      <c r="Z298" s="43" t="str">
        <f t="shared" si="75"/>
        <v/>
      </c>
      <c r="AA298" s="44" t="str">
        <f t="shared" si="76"/>
        <v>Sem custo</v>
      </c>
    </row>
    <row r="299" spans="1:27" ht="15" customHeight="1" x14ac:dyDescent="0.25">
      <c r="A299" s="12" t="s">
        <v>21</v>
      </c>
      <c r="B299" s="40">
        <v>45.25</v>
      </c>
      <c r="C299" s="12" t="s">
        <v>504</v>
      </c>
      <c r="D299" s="40">
        <v>89.9</v>
      </c>
      <c r="E299" s="13">
        <f>D299*G299</f>
        <v>10.338500000000002</v>
      </c>
      <c r="F299" s="14"/>
      <c r="G299" s="15">
        <v>0.115</v>
      </c>
      <c r="H299" s="40">
        <v>0</v>
      </c>
      <c r="I299" s="40">
        <v>12.35</v>
      </c>
      <c r="J299" s="13">
        <f t="shared" si="63"/>
        <v>67.211500000000015</v>
      </c>
      <c r="K299" s="13"/>
      <c r="L299" s="15">
        <f t="shared" si="64"/>
        <v>0.08</v>
      </c>
      <c r="M299" s="13">
        <f t="shared" si="65"/>
        <v>7.1920000000000002</v>
      </c>
      <c r="N299" s="13">
        <f t="shared" si="66"/>
        <v>14.769500000000015</v>
      </c>
      <c r="O299" s="15">
        <f t="shared" si="67"/>
        <v>0.16428809788654075</v>
      </c>
      <c r="P299" s="16">
        <f t="shared" si="68"/>
        <v>74.793388429752071</v>
      </c>
      <c r="Q299" s="41">
        <f t="shared" si="69"/>
        <v>0.20000000000000007</v>
      </c>
      <c r="T299" s="42"/>
      <c r="U299" s="16">
        <f t="shared" si="70"/>
        <v>89.752066115702476</v>
      </c>
      <c r="V299" s="41">
        <f t="shared" si="71"/>
        <v>0.16666666666666663</v>
      </c>
      <c r="W299" s="17">
        <f t="shared" si="72"/>
        <v>0.16323204419889512</v>
      </c>
      <c r="X299" s="41">
        <f t="shared" si="73"/>
        <v>0.20000000000000007</v>
      </c>
      <c r="Y299" s="43">
        <f t="shared" si="74"/>
        <v>14.95867768595042</v>
      </c>
      <c r="Z299" s="43">
        <f t="shared" si="75"/>
        <v>74.793388429752071</v>
      </c>
      <c r="AA299" s="44" t="str">
        <f t="shared" si="76"/>
        <v>OK</v>
      </c>
    </row>
    <row r="300" spans="1:27" ht="15" customHeight="1" x14ac:dyDescent="0.25">
      <c r="A300" s="12" t="s">
        <v>505</v>
      </c>
      <c r="B300" s="40">
        <v>8.27</v>
      </c>
      <c r="C300" s="12" t="s">
        <v>506</v>
      </c>
      <c r="D300" s="40">
        <v>23.9</v>
      </c>
      <c r="E300" s="13">
        <f>D300*G300</f>
        <v>2.7484999999999999</v>
      </c>
      <c r="F300" s="14"/>
      <c r="G300" s="15">
        <v>0.115</v>
      </c>
      <c r="H300" s="40">
        <v>6.65</v>
      </c>
      <c r="I300" s="40">
        <v>0</v>
      </c>
      <c r="J300" s="13">
        <f t="shared" si="63"/>
        <v>14.501499999999998</v>
      </c>
      <c r="K300" s="13"/>
      <c r="L300" s="15">
        <f t="shared" si="64"/>
        <v>0.08</v>
      </c>
      <c r="M300" s="13">
        <f t="shared" si="65"/>
        <v>1.9119999999999999</v>
      </c>
      <c r="N300" s="13">
        <f t="shared" si="66"/>
        <v>4.3194999999999988</v>
      </c>
      <c r="O300" s="15">
        <f t="shared" si="67"/>
        <v>0.18073221757322172</v>
      </c>
      <c r="P300" s="16">
        <f t="shared" si="68"/>
        <v>24.66115702479339</v>
      </c>
      <c r="Q300" s="41">
        <f t="shared" si="69"/>
        <v>0.20000000000000007</v>
      </c>
      <c r="T300" s="42"/>
      <c r="U300" s="16">
        <f t="shared" si="70"/>
        <v>29.593388429752068</v>
      </c>
      <c r="V300" s="41">
        <f t="shared" si="71"/>
        <v>0.16666666666666663</v>
      </c>
      <c r="W300" s="17">
        <f t="shared" si="72"/>
        <v>0.3008333333333334</v>
      </c>
      <c r="X300" s="41">
        <f t="shared" si="73"/>
        <v>0.20000000000000007</v>
      </c>
      <c r="Y300" s="43">
        <f t="shared" si="74"/>
        <v>4.9322314049586797</v>
      </c>
      <c r="Z300" s="43">
        <f t="shared" si="75"/>
        <v>24.66115702479339</v>
      </c>
      <c r="AA300" s="44" t="str">
        <f t="shared" si="76"/>
        <v>OK</v>
      </c>
    </row>
    <row r="301" spans="1:27" ht="15" customHeight="1" x14ac:dyDescent="0.25">
      <c r="A301" s="12" t="s">
        <v>507</v>
      </c>
      <c r="B301" s="40">
        <v>9.4</v>
      </c>
      <c r="C301" s="12" t="s">
        <v>508</v>
      </c>
      <c r="D301" s="40">
        <v>29.9</v>
      </c>
      <c r="E301" s="13">
        <f>D301*G301</f>
        <v>3.4384999999999999</v>
      </c>
      <c r="F301" s="14"/>
      <c r="G301" s="15">
        <v>0.115</v>
      </c>
      <c r="H301" s="40">
        <v>7.95</v>
      </c>
      <c r="I301" s="40">
        <v>0</v>
      </c>
      <c r="J301" s="13">
        <f t="shared" si="63"/>
        <v>18.511499999999998</v>
      </c>
      <c r="K301" s="13"/>
      <c r="L301" s="15">
        <f t="shared" si="64"/>
        <v>0.08</v>
      </c>
      <c r="M301" s="13">
        <f t="shared" si="65"/>
        <v>2.3919999999999999</v>
      </c>
      <c r="N301" s="13">
        <f t="shared" si="66"/>
        <v>6.7194999999999983</v>
      </c>
      <c r="O301" s="15">
        <f t="shared" si="67"/>
        <v>0.22473244147157187</v>
      </c>
      <c r="P301" s="16">
        <f t="shared" si="68"/>
        <v>28.677685950413228</v>
      </c>
      <c r="Q301" s="41">
        <f t="shared" si="69"/>
        <v>0.20000000000000012</v>
      </c>
      <c r="T301" s="42"/>
      <c r="U301" s="16">
        <f t="shared" si="70"/>
        <v>34.413223140495873</v>
      </c>
      <c r="V301" s="41">
        <f t="shared" si="71"/>
        <v>0.16666666666666663</v>
      </c>
      <c r="W301" s="17">
        <f t="shared" si="72"/>
        <v>0.30083333333333334</v>
      </c>
      <c r="X301" s="41">
        <f t="shared" si="73"/>
        <v>0.20000000000000012</v>
      </c>
      <c r="Y301" s="43">
        <f t="shared" si="74"/>
        <v>5.7355371900826491</v>
      </c>
      <c r="Z301" s="43">
        <f t="shared" si="75"/>
        <v>28.677685950413228</v>
      </c>
      <c r="AA301" s="44" t="str">
        <f t="shared" si="76"/>
        <v>OK</v>
      </c>
    </row>
    <row r="302" spans="1:27" ht="15" customHeight="1" x14ac:dyDescent="0.25">
      <c r="A302" s="12" t="s">
        <v>509</v>
      </c>
      <c r="B302" s="40">
        <v>9.4</v>
      </c>
      <c r="C302" s="12" t="s">
        <v>510</v>
      </c>
      <c r="D302" s="40">
        <v>29.9</v>
      </c>
      <c r="E302" s="13">
        <f>D302*G302</f>
        <v>3.4384999999999999</v>
      </c>
      <c r="F302" s="14"/>
      <c r="G302" s="15">
        <v>0.115</v>
      </c>
      <c r="H302" s="40">
        <v>7.95</v>
      </c>
      <c r="I302" s="40">
        <v>0</v>
      </c>
      <c r="J302" s="13">
        <f t="shared" si="63"/>
        <v>18.511499999999998</v>
      </c>
      <c r="K302" s="13"/>
      <c r="L302" s="15">
        <f t="shared" si="64"/>
        <v>0.08</v>
      </c>
      <c r="M302" s="13">
        <f t="shared" si="65"/>
        <v>2.3919999999999999</v>
      </c>
      <c r="N302" s="13">
        <f t="shared" si="66"/>
        <v>6.7194999999999983</v>
      </c>
      <c r="O302" s="15">
        <f t="shared" si="67"/>
        <v>0.22473244147157187</v>
      </c>
      <c r="P302" s="16">
        <f t="shared" si="68"/>
        <v>28.677685950413228</v>
      </c>
      <c r="Q302" s="41">
        <f t="shared" si="69"/>
        <v>0.20000000000000012</v>
      </c>
      <c r="T302" s="42"/>
      <c r="U302" s="16">
        <f t="shared" si="70"/>
        <v>34.413223140495873</v>
      </c>
      <c r="V302" s="41">
        <f t="shared" si="71"/>
        <v>0.16666666666666663</v>
      </c>
      <c r="W302" s="17">
        <f t="shared" si="72"/>
        <v>0.30083333333333334</v>
      </c>
      <c r="X302" s="41">
        <f t="shared" si="73"/>
        <v>0.20000000000000012</v>
      </c>
      <c r="Y302" s="43">
        <f t="shared" si="74"/>
        <v>5.7355371900826491</v>
      </c>
      <c r="Z302" s="43">
        <f t="shared" si="75"/>
        <v>28.677685950413228</v>
      </c>
      <c r="AA302" s="44" t="str">
        <f t="shared" si="76"/>
        <v>OK</v>
      </c>
    </row>
    <row r="303" spans="1:27" ht="15" customHeight="1" x14ac:dyDescent="0.25">
      <c r="A303" s="12" t="s">
        <v>511</v>
      </c>
      <c r="B303" s="40">
        <v>9.4</v>
      </c>
      <c r="C303" s="12" t="s">
        <v>512</v>
      </c>
      <c r="D303" s="40">
        <v>29.9</v>
      </c>
      <c r="E303" s="13">
        <f>D303*G303</f>
        <v>3.4384999999999999</v>
      </c>
      <c r="F303" s="14"/>
      <c r="G303" s="15">
        <v>0.115</v>
      </c>
      <c r="H303" s="40">
        <v>7.95</v>
      </c>
      <c r="I303" s="40">
        <v>0</v>
      </c>
      <c r="J303" s="13">
        <f t="shared" si="63"/>
        <v>18.511499999999998</v>
      </c>
      <c r="K303" s="13"/>
      <c r="L303" s="15">
        <f t="shared" si="64"/>
        <v>0.08</v>
      </c>
      <c r="M303" s="13">
        <f t="shared" si="65"/>
        <v>2.3919999999999999</v>
      </c>
      <c r="N303" s="13">
        <f t="shared" si="66"/>
        <v>6.7194999999999983</v>
      </c>
      <c r="O303" s="15">
        <f t="shared" si="67"/>
        <v>0.22473244147157187</v>
      </c>
      <c r="P303" s="16">
        <f t="shared" si="68"/>
        <v>28.677685950413228</v>
      </c>
      <c r="Q303" s="41">
        <f t="shared" si="69"/>
        <v>0.20000000000000012</v>
      </c>
      <c r="T303" s="42"/>
      <c r="U303" s="16">
        <f t="shared" si="70"/>
        <v>34.413223140495873</v>
      </c>
      <c r="V303" s="41">
        <f t="shared" si="71"/>
        <v>0.16666666666666663</v>
      </c>
      <c r="W303" s="17">
        <f t="shared" si="72"/>
        <v>0.30083333333333334</v>
      </c>
      <c r="X303" s="41">
        <f t="shared" si="73"/>
        <v>0.20000000000000012</v>
      </c>
      <c r="Y303" s="43">
        <f t="shared" si="74"/>
        <v>5.7355371900826491</v>
      </c>
      <c r="Z303" s="43">
        <f t="shared" si="75"/>
        <v>28.677685950413228</v>
      </c>
      <c r="AA303" s="44" t="str">
        <f t="shared" si="76"/>
        <v>OK</v>
      </c>
    </row>
    <row r="304" spans="1:27" ht="15" customHeight="1" x14ac:dyDescent="0.25">
      <c r="A304" s="12" t="s">
        <v>513</v>
      </c>
      <c r="B304" s="40">
        <v>369.01</v>
      </c>
      <c r="C304" s="12" t="s">
        <v>514</v>
      </c>
      <c r="D304" s="40">
        <v>589.9</v>
      </c>
      <c r="E304" s="14"/>
      <c r="F304" s="13">
        <f>D304*G304</f>
        <v>106.18199999999999</v>
      </c>
      <c r="G304" s="15">
        <v>0.18</v>
      </c>
      <c r="H304" s="40">
        <v>0</v>
      </c>
      <c r="I304" s="40">
        <v>23.65</v>
      </c>
      <c r="J304" s="13">
        <f t="shared" si="63"/>
        <v>460.06799999999998</v>
      </c>
      <c r="K304" s="13"/>
      <c r="L304" s="15">
        <f t="shared" si="64"/>
        <v>0.08</v>
      </c>
      <c r="M304" s="13">
        <f t="shared" si="65"/>
        <v>47.192</v>
      </c>
      <c r="N304" s="13">
        <f t="shared" si="66"/>
        <v>43.865999999999993</v>
      </c>
      <c r="O304" s="15">
        <f t="shared" si="67"/>
        <v>7.4361756229869458E-2</v>
      </c>
      <c r="P304" s="16">
        <f t="shared" si="68"/>
        <v>727.14814814814804</v>
      </c>
      <c r="Q304" s="41">
        <f t="shared" si="69"/>
        <v>0.19999999999999987</v>
      </c>
      <c r="T304" s="42"/>
      <c r="U304" s="16">
        <f t="shared" si="70"/>
        <v>872.57777777777767</v>
      </c>
      <c r="V304" s="41">
        <f t="shared" si="71"/>
        <v>0.16666666666666674</v>
      </c>
      <c r="W304" s="17">
        <f t="shared" si="72"/>
        <v>0.28999999999999998</v>
      </c>
      <c r="X304" s="41">
        <f t="shared" si="73"/>
        <v>0.19999999999999987</v>
      </c>
      <c r="Y304" s="43">
        <f t="shared" si="74"/>
        <v>145.42962962962952</v>
      </c>
      <c r="Z304" s="43">
        <f t="shared" si="75"/>
        <v>727.14814814814804</v>
      </c>
      <c r="AA304" s="44" t="str">
        <f t="shared" si="76"/>
        <v>OK</v>
      </c>
    </row>
    <row r="305" spans="1:27" ht="15" customHeight="1" x14ac:dyDescent="0.25">
      <c r="A305" s="12" t="s">
        <v>513</v>
      </c>
      <c r="B305" s="40">
        <v>369.01</v>
      </c>
      <c r="C305" s="12" t="s">
        <v>515</v>
      </c>
      <c r="D305" s="40">
        <v>589.9</v>
      </c>
      <c r="E305" s="14"/>
      <c r="F305" s="13">
        <f>D305*G305</f>
        <v>106.18199999999999</v>
      </c>
      <c r="G305" s="15">
        <v>0.18</v>
      </c>
      <c r="H305" s="40">
        <v>0</v>
      </c>
      <c r="I305" s="40">
        <v>23.65</v>
      </c>
      <c r="J305" s="13">
        <f t="shared" si="63"/>
        <v>460.06799999999998</v>
      </c>
      <c r="K305" s="13"/>
      <c r="L305" s="15">
        <f t="shared" si="64"/>
        <v>0.08</v>
      </c>
      <c r="M305" s="13">
        <f t="shared" si="65"/>
        <v>47.192</v>
      </c>
      <c r="N305" s="13">
        <f t="shared" si="66"/>
        <v>43.865999999999993</v>
      </c>
      <c r="O305" s="15">
        <f t="shared" si="67"/>
        <v>7.4361756229869458E-2</v>
      </c>
      <c r="P305" s="16">
        <f t="shared" si="68"/>
        <v>727.14814814814804</v>
      </c>
      <c r="Q305" s="41">
        <f t="shared" si="69"/>
        <v>0.19999999999999987</v>
      </c>
      <c r="T305" s="42"/>
      <c r="U305" s="16">
        <f t="shared" si="70"/>
        <v>872.57777777777767</v>
      </c>
      <c r="V305" s="41">
        <f t="shared" si="71"/>
        <v>0.16666666666666674</v>
      </c>
      <c r="W305" s="17">
        <f t="shared" si="72"/>
        <v>0.28999999999999998</v>
      </c>
      <c r="X305" s="41">
        <f t="shared" si="73"/>
        <v>0.19999999999999987</v>
      </c>
      <c r="Y305" s="43">
        <f t="shared" si="74"/>
        <v>145.42962962962952</v>
      </c>
      <c r="Z305" s="43">
        <f t="shared" si="75"/>
        <v>727.14814814814804</v>
      </c>
      <c r="AA305" s="44" t="str">
        <f t="shared" si="76"/>
        <v>OK</v>
      </c>
    </row>
    <row r="306" spans="1:27" ht="15" customHeight="1" x14ac:dyDescent="0.25">
      <c r="A306" s="12" t="s">
        <v>516</v>
      </c>
      <c r="B306" s="40">
        <v>2.56</v>
      </c>
      <c r="C306" s="12" t="s">
        <v>517</v>
      </c>
      <c r="D306" s="40">
        <v>14.9</v>
      </c>
      <c r="E306" s="13">
        <f t="shared" ref="E306:E329" si="78">D306*G306</f>
        <v>1.7135</v>
      </c>
      <c r="F306" s="14"/>
      <c r="G306" s="15">
        <v>0.115</v>
      </c>
      <c r="H306" s="40">
        <v>8.5500000000000007</v>
      </c>
      <c r="I306" s="40">
        <v>0</v>
      </c>
      <c r="J306" s="13">
        <f t="shared" si="63"/>
        <v>4.6364999999999998</v>
      </c>
      <c r="K306" s="13"/>
      <c r="L306" s="15">
        <f t="shared" si="64"/>
        <v>0.08</v>
      </c>
      <c r="M306" s="13">
        <f t="shared" si="65"/>
        <v>1.1919999999999999</v>
      </c>
      <c r="N306" s="13">
        <f t="shared" si="66"/>
        <v>0.88449999999999984</v>
      </c>
      <c r="O306" s="15">
        <f t="shared" si="67"/>
        <v>5.9362416107382542E-2</v>
      </c>
      <c r="P306" s="16">
        <f t="shared" si="68"/>
        <v>18.363636363636367</v>
      </c>
      <c r="Q306" s="41">
        <f t="shared" si="69"/>
        <v>0.19999999999999998</v>
      </c>
      <c r="T306" s="42"/>
      <c r="U306" s="16">
        <f t="shared" si="70"/>
        <v>22.036363636363639</v>
      </c>
      <c r="V306" s="41">
        <f t="shared" si="71"/>
        <v>0.16666666666666663</v>
      </c>
      <c r="W306" s="17">
        <f t="shared" si="72"/>
        <v>0.3008333333333334</v>
      </c>
      <c r="X306" s="41">
        <f t="shared" si="73"/>
        <v>0.19999999999999998</v>
      </c>
      <c r="Y306" s="43">
        <f t="shared" si="74"/>
        <v>3.6727272727272733</v>
      </c>
      <c r="Z306" s="43">
        <f t="shared" si="75"/>
        <v>18.363636363636367</v>
      </c>
      <c r="AA306" s="44" t="str">
        <f t="shared" si="76"/>
        <v>OK</v>
      </c>
    </row>
    <row r="307" spans="1:27" ht="15" customHeight="1" x14ac:dyDescent="0.25">
      <c r="A307" s="12" t="s">
        <v>518</v>
      </c>
      <c r="B307" s="40">
        <v>4.72</v>
      </c>
      <c r="C307" s="12" t="s">
        <v>519</v>
      </c>
      <c r="D307" s="40">
        <v>19.899999999999999</v>
      </c>
      <c r="E307" s="13">
        <f t="shared" si="78"/>
        <v>2.2885</v>
      </c>
      <c r="F307" s="14"/>
      <c r="G307" s="15">
        <v>0.115</v>
      </c>
      <c r="H307" s="40">
        <v>8.5500000000000007</v>
      </c>
      <c r="I307" s="40">
        <v>0</v>
      </c>
      <c r="J307" s="13">
        <f t="shared" si="63"/>
        <v>9.0614999999999988</v>
      </c>
      <c r="K307" s="13"/>
      <c r="L307" s="15">
        <f t="shared" si="64"/>
        <v>0.08</v>
      </c>
      <c r="M307" s="13">
        <f t="shared" si="65"/>
        <v>1.5919999999999999</v>
      </c>
      <c r="N307" s="13">
        <f t="shared" si="66"/>
        <v>2.7494999999999994</v>
      </c>
      <c r="O307" s="15">
        <f t="shared" si="67"/>
        <v>0.13816582914572861</v>
      </c>
      <c r="P307" s="16">
        <f t="shared" si="68"/>
        <v>21.93388429752066</v>
      </c>
      <c r="Q307" s="41">
        <f t="shared" si="69"/>
        <v>0.19999999999999993</v>
      </c>
      <c r="T307" s="42"/>
      <c r="U307" s="16">
        <f t="shared" si="70"/>
        <v>26.320661157024791</v>
      </c>
      <c r="V307" s="41">
        <f t="shared" si="71"/>
        <v>0.16666666666666663</v>
      </c>
      <c r="W307" s="17">
        <f t="shared" si="72"/>
        <v>0.30083333333333329</v>
      </c>
      <c r="X307" s="41">
        <f t="shared" si="73"/>
        <v>0.19999999999999993</v>
      </c>
      <c r="Y307" s="43">
        <f t="shared" si="74"/>
        <v>4.3867768595041303</v>
      </c>
      <c r="Z307" s="43">
        <f t="shared" si="75"/>
        <v>21.93388429752066</v>
      </c>
      <c r="AA307" s="44" t="str">
        <f t="shared" si="76"/>
        <v>OK</v>
      </c>
    </row>
    <row r="308" spans="1:27" ht="15" customHeight="1" x14ac:dyDescent="0.25">
      <c r="A308" s="12" t="s">
        <v>520</v>
      </c>
      <c r="B308" s="40">
        <v>9.74</v>
      </c>
      <c r="C308" s="12" t="s">
        <v>521</v>
      </c>
      <c r="D308" s="40">
        <v>39.9</v>
      </c>
      <c r="E308" s="13">
        <f t="shared" si="78"/>
        <v>4.7879999999999994</v>
      </c>
      <c r="F308" s="14"/>
      <c r="G308" s="15">
        <v>0.12</v>
      </c>
      <c r="H308" s="40">
        <v>8.5500000000000007</v>
      </c>
      <c r="I308" s="40">
        <v>0</v>
      </c>
      <c r="J308" s="13">
        <f t="shared" si="63"/>
        <v>26.562000000000001</v>
      </c>
      <c r="K308" s="13"/>
      <c r="L308" s="15">
        <f t="shared" si="64"/>
        <v>0.08</v>
      </c>
      <c r="M308" s="13">
        <f t="shared" si="65"/>
        <v>3.1920000000000002</v>
      </c>
      <c r="N308" s="13">
        <f t="shared" si="66"/>
        <v>13.630000000000003</v>
      </c>
      <c r="O308" s="15">
        <f t="shared" si="67"/>
        <v>0.34160401002506274</v>
      </c>
      <c r="P308" s="16">
        <f t="shared" si="68"/>
        <v>30.483333333333327</v>
      </c>
      <c r="Q308" s="41">
        <f t="shared" si="69"/>
        <v>0.1999999999999999</v>
      </c>
      <c r="T308" s="42"/>
      <c r="U308" s="16">
        <f t="shared" si="70"/>
        <v>36.579999999999991</v>
      </c>
      <c r="V308" s="41">
        <f t="shared" si="71"/>
        <v>0.16666666666666663</v>
      </c>
      <c r="W308" s="17">
        <f t="shared" si="72"/>
        <v>0.29999999999999982</v>
      </c>
      <c r="X308" s="41">
        <f t="shared" si="73"/>
        <v>0.1999999999999999</v>
      </c>
      <c r="Y308" s="43">
        <f t="shared" si="74"/>
        <v>6.0966666666666622</v>
      </c>
      <c r="Z308" s="43">
        <f t="shared" si="75"/>
        <v>30.483333333333327</v>
      </c>
      <c r="AA308" s="44" t="str">
        <f t="shared" si="76"/>
        <v>OK</v>
      </c>
    </row>
    <row r="309" spans="1:27" ht="15" customHeight="1" x14ac:dyDescent="0.25">
      <c r="A309" s="12" t="s">
        <v>522</v>
      </c>
      <c r="B309" s="40">
        <v>9.74</v>
      </c>
      <c r="C309" s="12" t="s">
        <v>523</v>
      </c>
      <c r="D309" s="40">
        <v>39.9</v>
      </c>
      <c r="E309" s="13">
        <f t="shared" si="78"/>
        <v>4.7879999999999994</v>
      </c>
      <c r="F309" s="14"/>
      <c r="G309" s="15">
        <v>0.12</v>
      </c>
      <c r="H309" s="40">
        <v>8.5500000000000007</v>
      </c>
      <c r="I309" s="40">
        <v>0</v>
      </c>
      <c r="J309" s="13">
        <f t="shared" si="63"/>
        <v>26.562000000000001</v>
      </c>
      <c r="K309" s="13"/>
      <c r="L309" s="15">
        <f t="shared" si="64"/>
        <v>0.08</v>
      </c>
      <c r="M309" s="13">
        <f t="shared" si="65"/>
        <v>3.1920000000000002</v>
      </c>
      <c r="N309" s="13">
        <f t="shared" si="66"/>
        <v>13.630000000000003</v>
      </c>
      <c r="O309" s="15">
        <f t="shared" si="67"/>
        <v>0.34160401002506274</v>
      </c>
      <c r="P309" s="16">
        <f t="shared" si="68"/>
        <v>30.483333333333327</v>
      </c>
      <c r="Q309" s="41">
        <f t="shared" si="69"/>
        <v>0.1999999999999999</v>
      </c>
      <c r="T309" s="42"/>
      <c r="U309" s="16">
        <f t="shared" si="70"/>
        <v>36.579999999999991</v>
      </c>
      <c r="V309" s="41">
        <f t="shared" si="71"/>
        <v>0.16666666666666663</v>
      </c>
      <c r="W309" s="17">
        <f t="shared" si="72"/>
        <v>0.29999999999999982</v>
      </c>
      <c r="X309" s="41">
        <f t="shared" si="73"/>
        <v>0.1999999999999999</v>
      </c>
      <c r="Y309" s="43">
        <f t="shared" si="74"/>
        <v>6.0966666666666622</v>
      </c>
      <c r="Z309" s="43">
        <f t="shared" si="75"/>
        <v>30.483333333333327</v>
      </c>
      <c r="AA309" s="44" t="str">
        <f t="shared" si="76"/>
        <v>OK</v>
      </c>
    </row>
    <row r="310" spans="1:27" ht="15" customHeight="1" x14ac:dyDescent="0.25">
      <c r="A310" s="12" t="s">
        <v>524</v>
      </c>
      <c r="B310" s="40">
        <v>4.97</v>
      </c>
      <c r="C310" s="12" t="s">
        <v>525</v>
      </c>
      <c r="D310" s="40">
        <v>19.899999999999999</v>
      </c>
      <c r="E310" s="13">
        <f t="shared" si="78"/>
        <v>2.3879999999999999</v>
      </c>
      <c r="F310" s="14"/>
      <c r="G310" s="15">
        <v>0.12</v>
      </c>
      <c r="H310" s="40">
        <v>6.55</v>
      </c>
      <c r="I310" s="40">
        <v>0</v>
      </c>
      <c r="J310" s="13">
        <f t="shared" si="63"/>
        <v>10.962</v>
      </c>
      <c r="K310" s="13"/>
      <c r="L310" s="15">
        <f t="shared" si="64"/>
        <v>0.08</v>
      </c>
      <c r="M310" s="13">
        <f t="shared" si="65"/>
        <v>1.5919999999999999</v>
      </c>
      <c r="N310" s="13">
        <f t="shared" si="66"/>
        <v>4.4000000000000004</v>
      </c>
      <c r="O310" s="15">
        <f t="shared" si="67"/>
        <v>0.221105527638191</v>
      </c>
      <c r="P310" s="16">
        <f t="shared" si="68"/>
        <v>19.199999999999996</v>
      </c>
      <c r="Q310" s="41">
        <f t="shared" si="69"/>
        <v>0.1999999999999999</v>
      </c>
      <c r="T310" s="42"/>
      <c r="U310" s="16">
        <f t="shared" si="70"/>
        <v>23.039999999999996</v>
      </c>
      <c r="V310" s="41">
        <f t="shared" si="71"/>
        <v>0.16666666666666674</v>
      </c>
      <c r="W310" s="17">
        <f t="shared" si="72"/>
        <v>0.3</v>
      </c>
      <c r="X310" s="41">
        <f t="shared" si="73"/>
        <v>0.1999999999999999</v>
      </c>
      <c r="Y310" s="43">
        <f t="shared" si="74"/>
        <v>3.8399999999999972</v>
      </c>
      <c r="Z310" s="43">
        <f t="shared" si="75"/>
        <v>19.199999999999996</v>
      </c>
      <c r="AA310" s="44" t="str">
        <f t="shared" si="76"/>
        <v>OK</v>
      </c>
    </row>
    <row r="311" spans="1:27" ht="15" customHeight="1" x14ac:dyDescent="0.25">
      <c r="A311" s="12" t="s">
        <v>526</v>
      </c>
      <c r="B311" s="40">
        <v>25.34</v>
      </c>
      <c r="C311" s="12" t="s">
        <v>527</v>
      </c>
      <c r="D311" s="40">
        <v>62.9</v>
      </c>
      <c r="E311" s="13">
        <f t="shared" si="78"/>
        <v>7.5479999999999992</v>
      </c>
      <c r="F311" s="14"/>
      <c r="G311" s="15">
        <v>0.12</v>
      </c>
      <c r="H311" s="40">
        <v>8.5500000000000007</v>
      </c>
      <c r="I311" s="40">
        <v>0</v>
      </c>
      <c r="J311" s="13">
        <f t="shared" si="63"/>
        <v>46.801999999999992</v>
      </c>
      <c r="K311" s="13"/>
      <c r="L311" s="15">
        <f t="shared" si="64"/>
        <v>0.08</v>
      </c>
      <c r="M311" s="13">
        <f t="shared" si="65"/>
        <v>5.032</v>
      </c>
      <c r="N311" s="13">
        <f t="shared" si="66"/>
        <v>16.429999999999993</v>
      </c>
      <c r="O311" s="15">
        <f t="shared" si="67"/>
        <v>0.26120826709061989</v>
      </c>
      <c r="P311" s="16">
        <f t="shared" si="68"/>
        <v>56.483333333333327</v>
      </c>
      <c r="Q311" s="41">
        <f t="shared" si="69"/>
        <v>0.19999999999999996</v>
      </c>
      <c r="T311" s="42"/>
      <c r="U311" s="16">
        <f t="shared" si="70"/>
        <v>67.779999999999987</v>
      </c>
      <c r="V311" s="41">
        <f t="shared" si="71"/>
        <v>0.16666666666666663</v>
      </c>
      <c r="W311" s="17">
        <f t="shared" si="72"/>
        <v>0.29999999999999993</v>
      </c>
      <c r="X311" s="41">
        <f t="shared" si="73"/>
        <v>0.19999999999999996</v>
      </c>
      <c r="Y311" s="43">
        <f t="shared" si="74"/>
        <v>11.296666666666663</v>
      </c>
      <c r="Z311" s="43">
        <f t="shared" si="75"/>
        <v>56.483333333333327</v>
      </c>
      <c r="AA311" s="44" t="str">
        <f t="shared" si="76"/>
        <v>OK</v>
      </c>
    </row>
    <row r="312" spans="1:27" ht="15" customHeight="1" x14ac:dyDescent="0.25">
      <c r="A312" s="12" t="s">
        <v>528</v>
      </c>
      <c r="B312" s="40">
        <v>9.74</v>
      </c>
      <c r="C312" s="12" t="s">
        <v>529</v>
      </c>
      <c r="D312" s="40">
        <v>39.9</v>
      </c>
      <c r="E312" s="13">
        <f t="shared" si="78"/>
        <v>4.7879999999999994</v>
      </c>
      <c r="F312" s="14"/>
      <c r="G312" s="15">
        <v>0.12</v>
      </c>
      <c r="H312" s="40">
        <v>8.5500000000000007</v>
      </c>
      <c r="I312" s="40">
        <v>0</v>
      </c>
      <c r="J312" s="13">
        <f t="shared" si="63"/>
        <v>26.562000000000001</v>
      </c>
      <c r="K312" s="13"/>
      <c r="L312" s="15">
        <f t="shared" si="64"/>
        <v>0.08</v>
      </c>
      <c r="M312" s="13">
        <f t="shared" si="65"/>
        <v>3.1920000000000002</v>
      </c>
      <c r="N312" s="13">
        <f t="shared" si="66"/>
        <v>13.630000000000003</v>
      </c>
      <c r="O312" s="15">
        <f t="shared" si="67"/>
        <v>0.34160401002506274</v>
      </c>
      <c r="P312" s="16">
        <f t="shared" si="68"/>
        <v>30.483333333333327</v>
      </c>
      <c r="Q312" s="41">
        <f t="shared" si="69"/>
        <v>0.1999999999999999</v>
      </c>
      <c r="T312" s="42"/>
      <c r="U312" s="16">
        <f t="shared" si="70"/>
        <v>36.579999999999991</v>
      </c>
      <c r="V312" s="41">
        <f t="shared" si="71"/>
        <v>0.16666666666666663</v>
      </c>
      <c r="W312" s="17">
        <f t="shared" si="72"/>
        <v>0.29999999999999982</v>
      </c>
      <c r="X312" s="41">
        <f t="shared" si="73"/>
        <v>0.1999999999999999</v>
      </c>
      <c r="Y312" s="43">
        <f t="shared" si="74"/>
        <v>6.0966666666666622</v>
      </c>
      <c r="Z312" s="43">
        <f t="shared" si="75"/>
        <v>30.483333333333327</v>
      </c>
      <c r="AA312" s="44" t="str">
        <f t="shared" si="76"/>
        <v>OK</v>
      </c>
    </row>
    <row r="313" spans="1:27" ht="15" customHeight="1" x14ac:dyDescent="0.25">
      <c r="A313" s="12" t="s">
        <v>530</v>
      </c>
      <c r="B313" s="40">
        <v>4.97</v>
      </c>
      <c r="C313" s="12" t="s">
        <v>531</v>
      </c>
      <c r="D313" s="40">
        <v>19.899999999999999</v>
      </c>
      <c r="E313" s="13">
        <f t="shared" si="78"/>
        <v>2.3879999999999999</v>
      </c>
      <c r="F313" s="14"/>
      <c r="G313" s="15">
        <v>0.12</v>
      </c>
      <c r="H313" s="40">
        <v>6.55</v>
      </c>
      <c r="I313" s="40">
        <v>0</v>
      </c>
      <c r="J313" s="13">
        <f t="shared" si="63"/>
        <v>10.962</v>
      </c>
      <c r="K313" s="13"/>
      <c r="L313" s="15">
        <f t="shared" si="64"/>
        <v>0.08</v>
      </c>
      <c r="M313" s="13">
        <f t="shared" si="65"/>
        <v>1.5919999999999999</v>
      </c>
      <c r="N313" s="13">
        <f t="shared" si="66"/>
        <v>4.4000000000000004</v>
      </c>
      <c r="O313" s="15">
        <f t="shared" si="67"/>
        <v>0.221105527638191</v>
      </c>
      <c r="P313" s="16">
        <f t="shared" si="68"/>
        <v>19.199999999999996</v>
      </c>
      <c r="Q313" s="41">
        <f t="shared" si="69"/>
        <v>0.1999999999999999</v>
      </c>
      <c r="T313" s="42"/>
      <c r="U313" s="16">
        <f t="shared" si="70"/>
        <v>23.039999999999996</v>
      </c>
      <c r="V313" s="41">
        <f t="shared" si="71"/>
        <v>0.16666666666666674</v>
      </c>
      <c r="W313" s="17">
        <f t="shared" si="72"/>
        <v>0.3</v>
      </c>
      <c r="X313" s="41">
        <f t="shared" si="73"/>
        <v>0.1999999999999999</v>
      </c>
      <c r="Y313" s="43">
        <f t="shared" si="74"/>
        <v>3.8399999999999972</v>
      </c>
      <c r="Z313" s="43">
        <f t="shared" si="75"/>
        <v>19.199999999999996</v>
      </c>
      <c r="AA313" s="44" t="str">
        <f t="shared" si="76"/>
        <v>OK</v>
      </c>
    </row>
    <row r="314" spans="1:27" ht="15" customHeight="1" x14ac:dyDescent="0.25">
      <c r="A314" s="12" t="s">
        <v>532</v>
      </c>
      <c r="B314" s="40">
        <v>4.97</v>
      </c>
      <c r="C314" s="12" t="s">
        <v>533</v>
      </c>
      <c r="D314" s="40">
        <v>19.899999999999999</v>
      </c>
      <c r="E314" s="13">
        <f t="shared" si="78"/>
        <v>2.3879999999999999</v>
      </c>
      <c r="F314" s="14"/>
      <c r="G314" s="15">
        <v>0.12</v>
      </c>
      <c r="H314" s="40">
        <v>6.55</v>
      </c>
      <c r="I314" s="40">
        <v>0</v>
      </c>
      <c r="J314" s="13">
        <f t="shared" si="63"/>
        <v>10.962</v>
      </c>
      <c r="K314" s="13"/>
      <c r="L314" s="15">
        <f t="shared" si="64"/>
        <v>0.08</v>
      </c>
      <c r="M314" s="13">
        <f t="shared" si="65"/>
        <v>1.5919999999999999</v>
      </c>
      <c r="N314" s="13">
        <f t="shared" si="66"/>
        <v>4.4000000000000004</v>
      </c>
      <c r="O314" s="15">
        <f t="shared" si="67"/>
        <v>0.221105527638191</v>
      </c>
      <c r="P314" s="16">
        <f t="shared" si="68"/>
        <v>19.199999999999996</v>
      </c>
      <c r="Q314" s="41">
        <f t="shared" si="69"/>
        <v>0.1999999999999999</v>
      </c>
      <c r="T314" s="42"/>
      <c r="U314" s="16">
        <f t="shared" si="70"/>
        <v>23.039999999999996</v>
      </c>
      <c r="V314" s="41">
        <f t="shared" si="71"/>
        <v>0.16666666666666674</v>
      </c>
      <c r="W314" s="17">
        <f t="shared" si="72"/>
        <v>0.3</v>
      </c>
      <c r="X314" s="41">
        <f t="shared" si="73"/>
        <v>0.1999999999999999</v>
      </c>
      <c r="Y314" s="43">
        <f t="shared" si="74"/>
        <v>3.8399999999999972</v>
      </c>
      <c r="Z314" s="43">
        <f t="shared" si="75"/>
        <v>19.199999999999996</v>
      </c>
      <c r="AA314" s="44" t="str">
        <f t="shared" si="76"/>
        <v>OK</v>
      </c>
    </row>
    <row r="315" spans="1:27" ht="15" customHeight="1" x14ac:dyDescent="0.25">
      <c r="A315" s="12" t="s">
        <v>534</v>
      </c>
      <c r="B315" s="40">
        <v>12.92</v>
      </c>
      <c r="C315" s="12" t="s">
        <v>535</v>
      </c>
      <c r="D315" s="40">
        <v>31.9</v>
      </c>
      <c r="E315" s="13">
        <f t="shared" si="78"/>
        <v>3.8279999999999998</v>
      </c>
      <c r="F315" s="14"/>
      <c r="G315" s="15">
        <v>0.12</v>
      </c>
      <c r="H315" s="40">
        <v>6.65</v>
      </c>
      <c r="I315" s="40">
        <v>0</v>
      </c>
      <c r="J315" s="13">
        <f t="shared" si="63"/>
        <v>21.421999999999997</v>
      </c>
      <c r="K315" s="13"/>
      <c r="L315" s="15">
        <f t="shared" si="64"/>
        <v>0.08</v>
      </c>
      <c r="M315" s="13">
        <f t="shared" si="65"/>
        <v>2.552</v>
      </c>
      <c r="N315" s="13">
        <f t="shared" si="66"/>
        <v>5.9499999999999975</v>
      </c>
      <c r="O315" s="15">
        <f t="shared" si="67"/>
        <v>0.18652037617554851</v>
      </c>
      <c r="P315" s="16">
        <f t="shared" si="68"/>
        <v>32.61666666666666</v>
      </c>
      <c r="Q315" s="41">
        <f t="shared" si="69"/>
        <v>0.19999999999999987</v>
      </c>
      <c r="T315" s="42"/>
      <c r="U315" s="16">
        <f t="shared" si="70"/>
        <v>39.139999999999993</v>
      </c>
      <c r="V315" s="41">
        <f t="shared" si="71"/>
        <v>0.16666666666666674</v>
      </c>
      <c r="W315" s="17">
        <f t="shared" si="72"/>
        <v>0.30000000000000004</v>
      </c>
      <c r="X315" s="41">
        <f t="shared" si="73"/>
        <v>0.19999999999999987</v>
      </c>
      <c r="Y315" s="43">
        <f t="shared" si="74"/>
        <v>6.5233333333333281</v>
      </c>
      <c r="Z315" s="43">
        <f t="shared" si="75"/>
        <v>32.61666666666666</v>
      </c>
      <c r="AA315" s="44" t="str">
        <f t="shared" si="76"/>
        <v>OK</v>
      </c>
    </row>
    <row r="316" spans="1:27" ht="15" customHeight="1" x14ac:dyDescent="0.25">
      <c r="A316" s="12" t="s">
        <v>536</v>
      </c>
      <c r="B316" s="40">
        <v>11.7</v>
      </c>
      <c r="C316" s="12" t="s">
        <v>537</v>
      </c>
      <c r="D316" s="40">
        <v>31.9</v>
      </c>
      <c r="E316" s="13">
        <f t="shared" si="78"/>
        <v>3.6684999999999999</v>
      </c>
      <c r="F316" s="14"/>
      <c r="G316" s="15">
        <v>0.115</v>
      </c>
      <c r="H316" s="40">
        <v>7.95</v>
      </c>
      <c r="I316" s="40">
        <v>0</v>
      </c>
      <c r="J316" s="13">
        <f t="shared" si="63"/>
        <v>20.281499999999998</v>
      </c>
      <c r="K316" s="13"/>
      <c r="L316" s="15">
        <f t="shared" si="64"/>
        <v>0.08</v>
      </c>
      <c r="M316" s="13">
        <f t="shared" si="65"/>
        <v>2.552</v>
      </c>
      <c r="N316" s="13">
        <f t="shared" si="66"/>
        <v>6.0294999999999987</v>
      </c>
      <c r="O316" s="15">
        <f t="shared" si="67"/>
        <v>0.18901253918495295</v>
      </c>
      <c r="P316" s="16">
        <f t="shared" si="68"/>
        <v>32.479338842975203</v>
      </c>
      <c r="Q316" s="41">
        <f t="shared" si="69"/>
        <v>0.2</v>
      </c>
      <c r="T316" s="42"/>
      <c r="U316" s="16">
        <f t="shared" si="70"/>
        <v>38.975206611570243</v>
      </c>
      <c r="V316" s="41">
        <f t="shared" si="71"/>
        <v>0.16666666666666663</v>
      </c>
      <c r="W316" s="17">
        <f t="shared" si="72"/>
        <v>0.30083333333333323</v>
      </c>
      <c r="X316" s="41">
        <f t="shared" si="73"/>
        <v>0.2</v>
      </c>
      <c r="Y316" s="43">
        <f t="shared" si="74"/>
        <v>6.4958677685950406</v>
      </c>
      <c r="Z316" s="43">
        <f t="shared" si="75"/>
        <v>32.479338842975203</v>
      </c>
      <c r="AA316" s="44" t="str">
        <f t="shared" si="76"/>
        <v>OK</v>
      </c>
    </row>
    <row r="317" spans="1:27" ht="15" customHeight="1" x14ac:dyDescent="0.25">
      <c r="A317" s="12" t="s">
        <v>538</v>
      </c>
      <c r="B317" s="40">
        <v>5.97</v>
      </c>
      <c r="C317" s="12" t="s">
        <v>539</v>
      </c>
      <c r="D317" s="40">
        <v>20.9</v>
      </c>
      <c r="E317" s="13">
        <f t="shared" si="78"/>
        <v>2.4034999999999997</v>
      </c>
      <c r="F317" s="14"/>
      <c r="G317" s="15">
        <v>0.115</v>
      </c>
      <c r="H317" s="40">
        <v>6.65</v>
      </c>
      <c r="I317" s="40">
        <v>0</v>
      </c>
      <c r="J317" s="13">
        <f t="shared" si="63"/>
        <v>11.846499999999997</v>
      </c>
      <c r="K317" s="13"/>
      <c r="L317" s="15">
        <f t="shared" si="64"/>
        <v>0.08</v>
      </c>
      <c r="M317" s="13">
        <f t="shared" si="65"/>
        <v>1.6719999999999999</v>
      </c>
      <c r="N317" s="13">
        <f t="shared" si="66"/>
        <v>4.2044999999999977</v>
      </c>
      <c r="O317" s="15">
        <f t="shared" si="67"/>
        <v>0.20117224880382764</v>
      </c>
      <c r="P317" s="16">
        <f t="shared" si="68"/>
        <v>20.859504132231407</v>
      </c>
      <c r="Q317" s="41">
        <f t="shared" si="69"/>
        <v>0.20000000000000004</v>
      </c>
      <c r="T317" s="42"/>
      <c r="U317" s="16">
        <f t="shared" si="70"/>
        <v>25.031404958677687</v>
      </c>
      <c r="V317" s="41">
        <f t="shared" si="71"/>
        <v>0.16666666666666663</v>
      </c>
      <c r="W317" s="17">
        <f t="shared" si="72"/>
        <v>0.3008333333333334</v>
      </c>
      <c r="X317" s="41">
        <f t="shared" si="73"/>
        <v>0.20000000000000004</v>
      </c>
      <c r="Y317" s="43">
        <f t="shared" si="74"/>
        <v>4.171900826446282</v>
      </c>
      <c r="Z317" s="43">
        <f t="shared" si="75"/>
        <v>20.859504132231407</v>
      </c>
      <c r="AA317" s="44" t="str">
        <f t="shared" si="76"/>
        <v>OK</v>
      </c>
    </row>
    <row r="318" spans="1:27" ht="15" customHeight="1" x14ac:dyDescent="0.25">
      <c r="A318" s="12" t="s">
        <v>536</v>
      </c>
      <c r="B318" s="40">
        <v>11.7</v>
      </c>
      <c r="C318" s="12" t="s">
        <v>540</v>
      </c>
      <c r="D318" s="40">
        <v>42.9</v>
      </c>
      <c r="E318" s="13">
        <f t="shared" si="78"/>
        <v>4.9335000000000004</v>
      </c>
      <c r="F318" s="14"/>
      <c r="G318" s="15">
        <v>0.115</v>
      </c>
      <c r="H318" s="40">
        <v>8.5500000000000007</v>
      </c>
      <c r="I318" s="40">
        <v>0</v>
      </c>
      <c r="J318" s="13">
        <f t="shared" si="63"/>
        <v>29.416499999999996</v>
      </c>
      <c r="K318" s="13"/>
      <c r="L318" s="15">
        <f t="shared" si="64"/>
        <v>0.08</v>
      </c>
      <c r="M318" s="13">
        <f t="shared" si="65"/>
        <v>3.4319999999999999</v>
      </c>
      <c r="N318" s="13">
        <f t="shared" si="66"/>
        <v>14.284499999999996</v>
      </c>
      <c r="O318" s="15">
        <f t="shared" si="67"/>
        <v>0.33297202797202791</v>
      </c>
      <c r="P318" s="16">
        <f t="shared" si="68"/>
        <v>33.471074380165291</v>
      </c>
      <c r="Q318" s="41">
        <f t="shared" si="69"/>
        <v>0.2</v>
      </c>
      <c r="T318" s="42"/>
      <c r="U318" s="16">
        <f t="shared" si="70"/>
        <v>40.165289256198349</v>
      </c>
      <c r="V318" s="41">
        <f t="shared" si="71"/>
        <v>0.16666666666666663</v>
      </c>
      <c r="W318" s="17">
        <f t="shared" si="72"/>
        <v>0.30083333333333329</v>
      </c>
      <c r="X318" s="41">
        <f t="shared" si="73"/>
        <v>0.2</v>
      </c>
      <c r="Y318" s="43">
        <f t="shared" si="74"/>
        <v>6.6942148760330582</v>
      </c>
      <c r="Z318" s="43">
        <f t="shared" si="75"/>
        <v>33.471074380165291</v>
      </c>
      <c r="AA318" s="44" t="str">
        <f t="shared" si="76"/>
        <v>OK</v>
      </c>
    </row>
    <row r="319" spans="1:27" ht="15" customHeight="1" x14ac:dyDescent="0.25">
      <c r="A319" s="12" t="s">
        <v>335</v>
      </c>
      <c r="B319" s="40">
        <v>18.68</v>
      </c>
      <c r="C319" s="12" t="s">
        <v>541</v>
      </c>
      <c r="D319" s="40">
        <v>44.8</v>
      </c>
      <c r="E319" s="13">
        <f t="shared" si="78"/>
        <v>5.1520000000000001</v>
      </c>
      <c r="F319" s="14"/>
      <c r="G319" s="15">
        <v>0.115</v>
      </c>
      <c r="H319" s="40">
        <v>8.15</v>
      </c>
      <c r="I319" s="40">
        <v>0</v>
      </c>
      <c r="J319" s="13">
        <f t="shared" si="63"/>
        <v>31.497999999999998</v>
      </c>
      <c r="K319" s="13"/>
      <c r="L319" s="15">
        <f t="shared" si="64"/>
        <v>0.08</v>
      </c>
      <c r="M319" s="13">
        <f t="shared" si="65"/>
        <v>3.5839999999999996</v>
      </c>
      <c r="N319" s="13">
        <f t="shared" si="66"/>
        <v>9.2339999999999982</v>
      </c>
      <c r="O319" s="15">
        <f t="shared" si="67"/>
        <v>0.20611607142857141</v>
      </c>
      <c r="P319" s="16">
        <f t="shared" si="68"/>
        <v>44.347107438016529</v>
      </c>
      <c r="Q319" s="41">
        <f t="shared" si="69"/>
        <v>0.20000000000000004</v>
      </c>
      <c r="T319" s="42"/>
      <c r="U319" s="16">
        <f t="shared" si="70"/>
        <v>53.216528925619834</v>
      </c>
      <c r="V319" s="41">
        <f t="shared" si="71"/>
        <v>0.16666666666666663</v>
      </c>
      <c r="W319" s="17">
        <f t="shared" si="72"/>
        <v>0.30083333333333329</v>
      </c>
      <c r="X319" s="41">
        <f t="shared" si="73"/>
        <v>0.20000000000000004</v>
      </c>
      <c r="Y319" s="43">
        <f t="shared" si="74"/>
        <v>8.869421487603308</v>
      </c>
      <c r="Z319" s="43">
        <f t="shared" si="75"/>
        <v>44.347107438016529</v>
      </c>
      <c r="AA319" s="44" t="str">
        <f t="shared" si="76"/>
        <v>OK</v>
      </c>
    </row>
    <row r="320" spans="1:27" ht="15" customHeight="1" x14ac:dyDescent="0.25">
      <c r="A320" s="12" t="s">
        <v>542</v>
      </c>
      <c r="B320" s="40">
        <v>10.59</v>
      </c>
      <c r="C320" s="12" t="s">
        <v>543</v>
      </c>
      <c r="D320" s="40">
        <v>22.88</v>
      </c>
      <c r="E320" s="13">
        <f t="shared" si="78"/>
        <v>2.6312000000000002</v>
      </c>
      <c r="F320" s="14"/>
      <c r="G320" s="15">
        <v>0.115</v>
      </c>
      <c r="H320" s="40">
        <v>8.15</v>
      </c>
      <c r="I320" s="40">
        <v>0</v>
      </c>
      <c r="J320" s="13">
        <f t="shared" si="63"/>
        <v>12.098799999999999</v>
      </c>
      <c r="K320" s="13"/>
      <c r="L320" s="15">
        <f t="shared" si="64"/>
        <v>0.08</v>
      </c>
      <c r="M320" s="13">
        <f t="shared" si="65"/>
        <v>1.8304</v>
      </c>
      <c r="N320" s="13">
        <f t="shared" si="66"/>
        <v>-0.321600000000001</v>
      </c>
      <c r="O320" s="15">
        <f t="shared" si="67"/>
        <v>-1.4055944055944101E-2</v>
      </c>
      <c r="P320" s="16">
        <f t="shared" si="68"/>
        <v>30.97520661157025</v>
      </c>
      <c r="Q320" s="41">
        <f t="shared" si="69"/>
        <v>0.2</v>
      </c>
      <c r="T320" s="42"/>
      <c r="U320" s="16">
        <f t="shared" si="70"/>
        <v>37.170247933884298</v>
      </c>
      <c r="V320" s="41">
        <f t="shared" si="71"/>
        <v>0.16666666666666663</v>
      </c>
      <c r="W320" s="17">
        <f t="shared" si="72"/>
        <v>0.3008333333333334</v>
      </c>
      <c r="X320" s="41">
        <f t="shared" si="73"/>
        <v>0.2</v>
      </c>
      <c r="Y320" s="43">
        <f t="shared" si="74"/>
        <v>6.1950413223140508</v>
      </c>
      <c r="Z320" s="43">
        <f t="shared" si="75"/>
        <v>30.97520661157025</v>
      </c>
      <c r="AA320" s="44" t="str">
        <f t="shared" si="76"/>
        <v>OK</v>
      </c>
    </row>
    <row r="321" spans="1:27" ht="15" customHeight="1" x14ac:dyDescent="0.25">
      <c r="A321" s="12" t="s">
        <v>544</v>
      </c>
      <c r="B321" s="40">
        <v>35.159999999999997</v>
      </c>
      <c r="C321" s="12" t="s">
        <v>545</v>
      </c>
      <c r="D321" s="40">
        <v>58.88</v>
      </c>
      <c r="E321" s="13">
        <f t="shared" si="78"/>
        <v>6.7712000000000003</v>
      </c>
      <c r="F321" s="14"/>
      <c r="G321" s="15">
        <v>0.115</v>
      </c>
      <c r="H321" s="40">
        <v>8.5500000000000007</v>
      </c>
      <c r="I321" s="40">
        <v>0</v>
      </c>
      <c r="J321" s="13">
        <f t="shared" si="63"/>
        <v>43.558800000000005</v>
      </c>
      <c r="K321" s="13"/>
      <c r="L321" s="15">
        <f t="shared" si="64"/>
        <v>0.08</v>
      </c>
      <c r="M321" s="13">
        <f t="shared" si="65"/>
        <v>4.7103999999999999</v>
      </c>
      <c r="N321" s="13">
        <f t="shared" si="66"/>
        <v>3.6884000000000086</v>
      </c>
      <c r="O321" s="15">
        <f t="shared" si="67"/>
        <v>6.2642663043478403E-2</v>
      </c>
      <c r="P321" s="16">
        <f t="shared" si="68"/>
        <v>72.24793388429751</v>
      </c>
      <c r="Q321" s="41">
        <f t="shared" si="69"/>
        <v>0.20000000000000004</v>
      </c>
      <c r="T321" s="42"/>
      <c r="U321" s="16">
        <f t="shared" si="70"/>
        <v>86.697520661157014</v>
      </c>
      <c r="V321" s="41">
        <f t="shared" si="71"/>
        <v>0.16666666666666674</v>
      </c>
      <c r="W321" s="17">
        <f t="shared" si="72"/>
        <v>0.3994520704644246</v>
      </c>
      <c r="X321" s="41">
        <f t="shared" si="73"/>
        <v>0.20000000000000004</v>
      </c>
      <c r="Y321" s="43">
        <f t="shared" si="74"/>
        <v>14.449586776859505</v>
      </c>
      <c r="Z321" s="43">
        <f t="shared" si="75"/>
        <v>72.24793388429751</v>
      </c>
      <c r="AA321" s="44" t="str">
        <f t="shared" si="76"/>
        <v>OK</v>
      </c>
    </row>
    <row r="322" spans="1:27" ht="15" customHeight="1" x14ac:dyDescent="0.25">
      <c r="A322" s="12" t="s">
        <v>546</v>
      </c>
      <c r="B322" s="40">
        <v>16.760000000000002</v>
      </c>
      <c r="C322" s="12" t="s">
        <v>547</v>
      </c>
      <c r="D322" s="40">
        <v>39.9</v>
      </c>
      <c r="E322" s="13">
        <f t="shared" si="78"/>
        <v>4.5884999999999998</v>
      </c>
      <c r="F322" s="14"/>
      <c r="G322" s="15">
        <v>0.115</v>
      </c>
      <c r="H322" s="40">
        <v>7.95</v>
      </c>
      <c r="I322" s="40">
        <v>0</v>
      </c>
      <c r="J322" s="13">
        <f t="shared" si="63"/>
        <v>27.361499999999996</v>
      </c>
      <c r="K322" s="13"/>
      <c r="L322" s="15">
        <f t="shared" si="64"/>
        <v>0.08</v>
      </c>
      <c r="M322" s="13">
        <f t="shared" si="65"/>
        <v>3.1920000000000002</v>
      </c>
      <c r="N322" s="13">
        <f t="shared" si="66"/>
        <v>7.4094999999999942</v>
      </c>
      <c r="O322" s="15">
        <f t="shared" si="67"/>
        <v>0.18570175438596478</v>
      </c>
      <c r="P322" s="16">
        <f t="shared" si="68"/>
        <v>40.84297520661157</v>
      </c>
      <c r="Q322" s="41">
        <f t="shared" si="69"/>
        <v>0.20000000000000004</v>
      </c>
      <c r="T322" s="42"/>
      <c r="U322" s="16">
        <f t="shared" si="70"/>
        <v>49.011570247933882</v>
      </c>
      <c r="V322" s="41">
        <f t="shared" si="71"/>
        <v>0.16666666666666663</v>
      </c>
      <c r="W322" s="17">
        <f t="shared" si="72"/>
        <v>0.30083333333333329</v>
      </c>
      <c r="X322" s="41">
        <f t="shared" si="73"/>
        <v>0.20000000000000004</v>
      </c>
      <c r="Y322" s="43">
        <f t="shared" si="74"/>
        <v>8.1685950413223161</v>
      </c>
      <c r="Z322" s="43">
        <f t="shared" si="75"/>
        <v>40.84297520661157</v>
      </c>
      <c r="AA322" s="44" t="str">
        <f t="shared" si="76"/>
        <v>OK</v>
      </c>
    </row>
    <row r="323" spans="1:27" ht="15" customHeight="1" x14ac:dyDescent="0.25">
      <c r="A323" s="12" t="s">
        <v>548</v>
      </c>
      <c r="B323" s="40">
        <v>16.760000000000002</v>
      </c>
      <c r="C323" s="12" t="s">
        <v>549</v>
      </c>
      <c r="D323" s="40">
        <v>39.9</v>
      </c>
      <c r="E323" s="13">
        <f t="shared" si="78"/>
        <v>4.5884999999999998</v>
      </c>
      <c r="F323" s="14"/>
      <c r="G323" s="15">
        <v>0.115</v>
      </c>
      <c r="H323" s="40">
        <v>7.95</v>
      </c>
      <c r="I323" s="40">
        <v>0</v>
      </c>
      <c r="J323" s="13">
        <f t="shared" ref="J323:J386" si="79">D323-IFERROR(E323,0)-IFERROR(F323,0)-IF(D323&lt;79,H323,0)-IF(D323&gt;=79,I323,0)</f>
        <v>27.361499999999996</v>
      </c>
      <c r="K323" s="13"/>
      <c r="L323" s="15">
        <f t="shared" ref="L323:L386" si="80">$K$2</f>
        <v>0.08</v>
      </c>
      <c r="M323" s="13">
        <f t="shared" ref="M323:M386" si="81">D323*$K$2</f>
        <v>3.1920000000000002</v>
      </c>
      <c r="N323" s="13">
        <f t="shared" ref="N323:N386" si="82">J323-IF(ISNUMBER(B323),B323,0)-M323</f>
        <v>7.4094999999999942</v>
      </c>
      <c r="O323" s="15">
        <f t="shared" ref="O323:O386" si="83">IFERROR(N323/D323,0)</f>
        <v>0.18570175438596478</v>
      </c>
      <c r="P323" s="16">
        <f t="shared" ref="P323:P386" si="84">IF(NOT(ISNUMBER(B323)),"",IF((1-G323-$K$2-$Q$2)&lt;=0,"erro",IF((B323+H323)/(1-G323-$K$2-$Q$2)&lt;79,(B323+H323)/(1-G323-$K$2-$Q$2),IF((78.99-78.99*G323-H323-78.99*$K$2-B323)/78.99&gt;=$R$2,78.99,IF((B323+I323)/(1-G323-$K$2-$Q$2)&gt;=79,(B323+I323)/(1-G323-$K$2-$Q$2),MAX(79,(B323+I323)/(1-G323-$K$2-$R$2)))))))</f>
        <v>40.84297520661157</v>
      </c>
      <c r="Q323" s="41">
        <f t="shared" ref="Q323:Q386" si="85">IF(NOT(ISNUMBER(P323)),"",(P323-P323*G323-IF(P323&lt;79,H323,I323)-P323*$K$2-B323)/P323)</f>
        <v>0.20000000000000004</v>
      </c>
      <c r="T323" s="42"/>
      <c r="U323" s="16">
        <f t="shared" ref="U323:U386" si="86">IF(NOT(ISNUMBER(P323)),"",P323*(1+$T$2))</f>
        <v>49.011570247933882</v>
      </c>
      <c r="V323" s="41">
        <f t="shared" ref="V323:V386" si="87">IF(NOT(ISNUMBER(U323)),"",1-P323/U323)</f>
        <v>0.16666666666666663</v>
      </c>
      <c r="W323" s="17">
        <f t="shared" ref="W323:W386" si="88">IF(NOT(ISNUMBER(U323)),"",(U323-U323*G323-IF(U323&lt;79,H323,I323)-U323*$K$2-B323)/U323)</f>
        <v>0.30083333333333329</v>
      </c>
      <c r="X323" s="41">
        <f t="shared" ref="X323:X386" si="89">IF(NOT(ISNUMBER(P323)),"",(P323-P323*G323-IF(P323&lt;79,H323,I323)-P323*$K$2-B323)/P323)</f>
        <v>0.20000000000000004</v>
      </c>
      <c r="Y323" s="43">
        <f t="shared" ref="Y323:Y386" si="90">IF(NOT(ISNUMBER(P323)),"",P323-P323*G323-IF(P323&lt;79,H323,I323)-P323*$K$2-B323)</f>
        <v>8.1685950413223161</v>
      </c>
      <c r="Z323" s="43">
        <f t="shared" ref="Z323:Z386" si="91">IF(NOT(ISNUMBER(P323)),"",P323)</f>
        <v>40.84297520661157</v>
      </c>
      <c r="AA323" s="44" t="str">
        <f t="shared" ref="AA323:AA386" si="92">IF(NOT(ISNUMBER(B323)),"Sem custo",IF(NOT(ISNUMBER(P323)),"",IF(AND(P323&gt;=79,I323=0),"⚠ Subiu p/ frete (I=0)",IF(ABS(P323-78.99)&lt;0.01,"Forçado &lt;79 (evita frete)",IF(AND(P323&gt;=79,Q323&lt;$Q$2-0.001),"Subiu p/ frete (min R2)",IF(Q323&lt;$R$2-0.001,"⚠ Margem abaixo do mínimo","OK"))))))</f>
        <v>OK</v>
      </c>
    </row>
    <row r="324" spans="1:27" ht="15" customHeight="1" x14ac:dyDescent="0.25">
      <c r="A324" s="12" t="s">
        <v>550</v>
      </c>
      <c r="B324" s="40">
        <v>12.32</v>
      </c>
      <c r="C324" s="12" t="s">
        <v>551</v>
      </c>
      <c r="D324" s="40">
        <v>37.9</v>
      </c>
      <c r="E324" s="13">
        <f t="shared" si="78"/>
        <v>4.3585000000000003</v>
      </c>
      <c r="F324" s="14"/>
      <c r="G324" s="15">
        <v>0.115</v>
      </c>
      <c r="H324" s="40">
        <v>6.65</v>
      </c>
      <c r="I324" s="40">
        <v>0</v>
      </c>
      <c r="J324" s="13">
        <f t="shared" si="79"/>
        <v>26.891500000000001</v>
      </c>
      <c r="K324" s="13"/>
      <c r="L324" s="15">
        <f t="shared" si="80"/>
        <v>0.08</v>
      </c>
      <c r="M324" s="13">
        <f t="shared" si="81"/>
        <v>3.032</v>
      </c>
      <c r="N324" s="13">
        <f t="shared" si="82"/>
        <v>11.5395</v>
      </c>
      <c r="O324" s="15">
        <f t="shared" si="83"/>
        <v>0.30447229551451188</v>
      </c>
      <c r="P324" s="16">
        <f t="shared" si="84"/>
        <v>31.355371900826444</v>
      </c>
      <c r="Q324" s="41">
        <f t="shared" si="85"/>
        <v>0.19999999999999998</v>
      </c>
      <c r="T324" s="42"/>
      <c r="U324" s="16">
        <f t="shared" si="86"/>
        <v>37.626446280991729</v>
      </c>
      <c r="V324" s="41">
        <f t="shared" si="87"/>
        <v>0.16666666666666652</v>
      </c>
      <c r="W324" s="17">
        <f t="shared" si="88"/>
        <v>0.30083333333333334</v>
      </c>
      <c r="X324" s="41">
        <f t="shared" si="89"/>
        <v>0.19999999999999998</v>
      </c>
      <c r="Y324" s="43">
        <f t="shared" si="90"/>
        <v>6.2710743801652882</v>
      </c>
      <c r="Z324" s="43">
        <f t="shared" si="91"/>
        <v>31.355371900826444</v>
      </c>
      <c r="AA324" s="44" t="str">
        <f t="shared" si="92"/>
        <v>OK</v>
      </c>
    </row>
    <row r="325" spans="1:27" ht="15" customHeight="1" x14ac:dyDescent="0.25">
      <c r="A325" s="12" t="s">
        <v>552</v>
      </c>
      <c r="B325" s="40">
        <v>9.34</v>
      </c>
      <c r="C325" s="12" t="s">
        <v>553</v>
      </c>
      <c r="D325" s="40">
        <v>31.9</v>
      </c>
      <c r="E325" s="13">
        <f t="shared" si="78"/>
        <v>3.6684999999999999</v>
      </c>
      <c r="F325" s="14"/>
      <c r="G325" s="15">
        <v>0.115</v>
      </c>
      <c r="H325" s="40">
        <v>6.55</v>
      </c>
      <c r="I325" s="40">
        <v>0</v>
      </c>
      <c r="J325" s="13">
        <f t="shared" si="79"/>
        <v>21.681499999999996</v>
      </c>
      <c r="K325" s="13"/>
      <c r="L325" s="15">
        <f t="shared" si="80"/>
        <v>0.08</v>
      </c>
      <c r="M325" s="13">
        <f t="shared" si="81"/>
        <v>2.552</v>
      </c>
      <c r="N325" s="13">
        <f t="shared" si="82"/>
        <v>9.7894999999999968</v>
      </c>
      <c r="O325" s="15">
        <f t="shared" si="83"/>
        <v>0.30688087774294665</v>
      </c>
      <c r="P325" s="16">
        <f t="shared" si="84"/>
        <v>26.264462809917358</v>
      </c>
      <c r="Q325" s="41">
        <f t="shared" si="85"/>
        <v>0.19999999999999996</v>
      </c>
      <c r="T325" s="42"/>
      <c r="U325" s="16">
        <f t="shared" si="86"/>
        <v>31.517355371900827</v>
      </c>
      <c r="V325" s="41">
        <f t="shared" si="87"/>
        <v>0.16666666666666663</v>
      </c>
      <c r="W325" s="17">
        <f t="shared" si="88"/>
        <v>0.3008333333333334</v>
      </c>
      <c r="X325" s="41">
        <f t="shared" si="89"/>
        <v>0.19999999999999996</v>
      </c>
      <c r="Y325" s="43">
        <f t="shared" si="90"/>
        <v>5.2528925619834705</v>
      </c>
      <c r="Z325" s="43">
        <f t="shared" si="91"/>
        <v>26.264462809917358</v>
      </c>
      <c r="AA325" s="44" t="str">
        <f t="shared" si="92"/>
        <v>OK</v>
      </c>
    </row>
    <row r="326" spans="1:27" ht="15" customHeight="1" x14ac:dyDescent="0.25">
      <c r="A326" s="12" t="s">
        <v>554</v>
      </c>
      <c r="B326" s="40">
        <v>6.36</v>
      </c>
      <c r="C326" s="12" t="s">
        <v>555</v>
      </c>
      <c r="D326" s="40">
        <v>24.9</v>
      </c>
      <c r="E326" s="13">
        <f t="shared" si="78"/>
        <v>2.8635000000000002</v>
      </c>
      <c r="F326" s="14"/>
      <c r="G326" s="15">
        <v>0.115</v>
      </c>
      <c r="H326" s="40">
        <v>6.55</v>
      </c>
      <c r="I326" s="40">
        <v>0</v>
      </c>
      <c r="J326" s="13">
        <f t="shared" si="79"/>
        <v>15.486499999999996</v>
      </c>
      <c r="K326" s="13"/>
      <c r="L326" s="15">
        <f t="shared" si="80"/>
        <v>0.08</v>
      </c>
      <c r="M326" s="13">
        <f t="shared" si="81"/>
        <v>1.992</v>
      </c>
      <c r="N326" s="13">
        <f t="shared" si="82"/>
        <v>7.1344999999999965</v>
      </c>
      <c r="O326" s="15">
        <f t="shared" si="83"/>
        <v>0.28652610441767057</v>
      </c>
      <c r="P326" s="16">
        <f t="shared" si="84"/>
        <v>21.338842975206614</v>
      </c>
      <c r="Q326" s="41">
        <f t="shared" si="85"/>
        <v>0.20000000000000007</v>
      </c>
      <c r="T326" s="42"/>
      <c r="U326" s="16">
        <f t="shared" si="86"/>
        <v>25.606611570247935</v>
      </c>
      <c r="V326" s="41">
        <f t="shared" si="87"/>
        <v>0.16666666666666663</v>
      </c>
      <c r="W326" s="17">
        <f t="shared" si="88"/>
        <v>0.3008333333333334</v>
      </c>
      <c r="X326" s="41">
        <f t="shared" si="89"/>
        <v>0.20000000000000007</v>
      </c>
      <c r="Y326" s="43">
        <f t="shared" si="90"/>
        <v>4.267768595041324</v>
      </c>
      <c r="Z326" s="43">
        <f t="shared" si="91"/>
        <v>21.338842975206614</v>
      </c>
      <c r="AA326" s="44" t="str">
        <f t="shared" si="92"/>
        <v>OK</v>
      </c>
    </row>
    <row r="327" spans="1:27" ht="15" customHeight="1" x14ac:dyDescent="0.25">
      <c r="A327" s="12" t="s">
        <v>556</v>
      </c>
      <c r="B327" s="40">
        <v>3.38</v>
      </c>
      <c r="C327" s="12" t="s">
        <v>557</v>
      </c>
      <c r="D327" s="40">
        <v>16.899999999999999</v>
      </c>
      <c r="E327" s="13">
        <f t="shared" si="78"/>
        <v>1.9435</v>
      </c>
      <c r="F327" s="14"/>
      <c r="G327" s="15">
        <v>0.115</v>
      </c>
      <c r="H327" s="40">
        <v>8.5500000000000007</v>
      </c>
      <c r="I327" s="40">
        <v>0</v>
      </c>
      <c r="J327" s="13">
        <f t="shared" si="79"/>
        <v>6.4064999999999976</v>
      </c>
      <c r="K327" s="13"/>
      <c r="L327" s="15">
        <f t="shared" si="80"/>
        <v>0.08</v>
      </c>
      <c r="M327" s="13">
        <f t="shared" si="81"/>
        <v>1.3519999999999999</v>
      </c>
      <c r="N327" s="13">
        <f t="shared" si="82"/>
        <v>1.6744999999999979</v>
      </c>
      <c r="O327" s="15">
        <f t="shared" si="83"/>
        <v>9.9082840236686273E-2</v>
      </c>
      <c r="P327" s="16">
        <f t="shared" si="84"/>
        <v>19.719008264462811</v>
      </c>
      <c r="Q327" s="41">
        <f t="shared" si="85"/>
        <v>0.19999999999999998</v>
      </c>
      <c r="T327" s="42"/>
      <c r="U327" s="16">
        <f t="shared" si="86"/>
        <v>23.662809917355371</v>
      </c>
      <c r="V327" s="41">
        <f t="shared" si="87"/>
        <v>0.16666666666666663</v>
      </c>
      <c r="W327" s="17">
        <f t="shared" si="88"/>
        <v>0.30083333333333323</v>
      </c>
      <c r="X327" s="41">
        <f t="shared" si="89"/>
        <v>0.19999999999999998</v>
      </c>
      <c r="Y327" s="43">
        <f t="shared" si="90"/>
        <v>3.9438016528925619</v>
      </c>
      <c r="Z327" s="43">
        <f t="shared" si="91"/>
        <v>19.719008264462811</v>
      </c>
      <c r="AA327" s="44" t="str">
        <f t="shared" si="92"/>
        <v>OK</v>
      </c>
    </row>
    <row r="328" spans="1:27" ht="15" customHeight="1" x14ac:dyDescent="0.25">
      <c r="A328" s="12" t="s">
        <v>558</v>
      </c>
      <c r="B328" s="40">
        <v>8.0399999999999991</v>
      </c>
      <c r="C328" s="12" t="s">
        <v>559</v>
      </c>
      <c r="D328" s="40">
        <v>24.5</v>
      </c>
      <c r="E328" s="13">
        <f t="shared" si="78"/>
        <v>2.8175000000000003</v>
      </c>
      <c r="F328" s="14"/>
      <c r="G328" s="15">
        <v>0.115</v>
      </c>
      <c r="H328" s="40">
        <v>6.75</v>
      </c>
      <c r="I328" s="40">
        <v>0</v>
      </c>
      <c r="J328" s="13">
        <f t="shared" si="79"/>
        <v>14.932500000000001</v>
      </c>
      <c r="K328" s="13"/>
      <c r="L328" s="15">
        <f t="shared" si="80"/>
        <v>0.08</v>
      </c>
      <c r="M328" s="13">
        <f t="shared" si="81"/>
        <v>1.96</v>
      </c>
      <c r="N328" s="13">
        <f t="shared" si="82"/>
        <v>4.9325000000000019</v>
      </c>
      <c r="O328" s="15">
        <f t="shared" si="83"/>
        <v>0.20132653061224498</v>
      </c>
      <c r="P328" s="16">
        <f t="shared" si="84"/>
        <v>24.446280991735538</v>
      </c>
      <c r="Q328" s="41">
        <f t="shared" si="85"/>
        <v>0.20000000000000007</v>
      </c>
      <c r="T328" s="42"/>
      <c r="U328" s="16">
        <f t="shared" si="86"/>
        <v>29.335537190082643</v>
      </c>
      <c r="V328" s="41">
        <f t="shared" si="87"/>
        <v>0.16666666666666663</v>
      </c>
      <c r="W328" s="17">
        <f t="shared" si="88"/>
        <v>0.30083333333333329</v>
      </c>
      <c r="X328" s="41">
        <f t="shared" si="89"/>
        <v>0.20000000000000007</v>
      </c>
      <c r="Y328" s="43">
        <f t="shared" si="90"/>
        <v>4.889256198347109</v>
      </c>
      <c r="Z328" s="43">
        <f t="shared" si="91"/>
        <v>24.446280991735538</v>
      </c>
      <c r="AA328" s="44" t="str">
        <f t="shared" si="92"/>
        <v>OK</v>
      </c>
    </row>
    <row r="329" spans="1:27" ht="15" customHeight="1" x14ac:dyDescent="0.25">
      <c r="A329" s="12" t="s">
        <v>560</v>
      </c>
      <c r="B329" s="40">
        <v>7.71</v>
      </c>
      <c r="C329" s="12" t="s">
        <v>561</v>
      </c>
      <c r="D329" s="40">
        <v>22.98</v>
      </c>
      <c r="E329" s="13">
        <f t="shared" si="78"/>
        <v>2.6427</v>
      </c>
      <c r="F329" s="14"/>
      <c r="G329" s="15">
        <v>0.115</v>
      </c>
      <c r="H329" s="40">
        <v>6.75</v>
      </c>
      <c r="I329" s="40">
        <v>0</v>
      </c>
      <c r="J329" s="13">
        <f t="shared" si="79"/>
        <v>13.587299999999999</v>
      </c>
      <c r="K329" s="13"/>
      <c r="L329" s="15">
        <f t="shared" si="80"/>
        <v>0.08</v>
      </c>
      <c r="M329" s="13">
        <f t="shared" si="81"/>
        <v>1.8384</v>
      </c>
      <c r="N329" s="13">
        <f t="shared" si="82"/>
        <v>4.038899999999999</v>
      </c>
      <c r="O329" s="15">
        <f t="shared" si="83"/>
        <v>0.17575718015665792</v>
      </c>
      <c r="P329" s="16">
        <f t="shared" si="84"/>
        <v>23.900826446280995</v>
      </c>
      <c r="Q329" s="41">
        <f t="shared" si="85"/>
        <v>0.20000000000000007</v>
      </c>
      <c r="T329" s="42"/>
      <c r="U329" s="16">
        <f t="shared" si="86"/>
        <v>28.680991735537194</v>
      </c>
      <c r="V329" s="41">
        <f t="shared" si="87"/>
        <v>0.16666666666666674</v>
      </c>
      <c r="W329" s="17">
        <f t="shared" si="88"/>
        <v>0.30083333333333334</v>
      </c>
      <c r="X329" s="41">
        <f t="shared" si="89"/>
        <v>0.20000000000000007</v>
      </c>
      <c r="Y329" s="43">
        <f t="shared" si="90"/>
        <v>4.7801652892562005</v>
      </c>
      <c r="Z329" s="43">
        <f t="shared" si="91"/>
        <v>23.900826446280995</v>
      </c>
      <c r="AA329" s="44" t="str">
        <f t="shared" si="92"/>
        <v>OK</v>
      </c>
    </row>
    <row r="330" spans="1:27" ht="15" customHeight="1" x14ac:dyDescent="0.25">
      <c r="A330" s="12" t="s">
        <v>562</v>
      </c>
      <c r="B330" s="45" t="s">
        <v>32</v>
      </c>
      <c r="C330" s="12" t="s">
        <v>563</v>
      </c>
      <c r="D330" s="40">
        <v>2203.15</v>
      </c>
      <c r="E330" s="14"/>
      <c r="F330" s="13">
        <f>D330*G330</f>
        <v>363.51975000000004</v>
      </c>
      <c r="G330" s="15">
        <v>0.16500000000000001</v>
      </c>
      <c r="H330" s="40">
        <v>0</v>
      </c>
      <c r="I330" s="40">
        <v>110.75</v>
      </c>
      <c r="J330" s="13">
        <f t="shared" si="79"/>
        <v>1728.8802500000002</v>
      </c>
      <c r="K330" s="14"/>
      <c r="L330" s="15">
        <f t="shared" si="80"/>
        <v>0.08</v>
      </c>
      <c r="M330" s="13">
        <f t="shared" si="81"/>
        <v>176.25200000000001</v>
      </c>
      <c r="N330" s="13">
        <f t="shared" si="82"/>
        <v>1552.6282500000002</v>
      </c>
      <c r="O330" s="15">
        <f t="shared" si="83"/>
        <v>0.70473106688151066</v>
      </c>
      <c r="P330" s="16" t="str">
        <f t="shared" si="84"/>
        <v/>
      </c>
      <c r="Q330" s="41" t="str">
        <f t="shared" si="85"/>
        <v/>
      </c>
      <c r="T330" s="42"/>
      <c r="U330" s="16" t="str">
        <f t="shared" si="86"/>
        <v/>
      </c>
      <c r="V330" s="41" t="str">
        <f t="shared" si="87"/>
        <v/>
      </c>
      <c r="W330" s="17" t="str">
        <f t="shared" si="88"/>
        <v/>
      </c>
      <c r="X330" s="41" t="str">
        <f t="shared" si="89"/>
        <v/>
      </c>
      <c r="Y330" s="43" t="str">
        <f t="shared" si="90"/>
        <v/>
      </c>
      <c r="Z330" s="43" t="str">
        <f t="shared" si="91"/>
        <v/>
      </c>
      <c r="AA330" s="44" t="str">
        <f t="shared" si="92"/>
        <v>Sem custo</v>
      </c>
    </row>
    <row r="331" spans="1:27" ht="15" customHeight="1" x14ac:dyDescent="0.25">
      <c r="A331" s="12" t="s">
        <v>564</v>
      </c>
      <c r="B331" s="40">
        <v>10.1</v>
      </c>
      <c r="C331" s="12" t="s">
        <v>565</v>
      </c>
      <c r="D331" s="40">
        <v>27.5</v>
      </c>
      <c r="E331" s="13">
        <f t="shared" ref="E331:E371" si="93">D331*G331</f>
        <v>3.1625000000000001</v>
      </c>
      <c r="F331" s="14"/>
      <c r="G331" s="15">
        <v>0.115</v>
      </c>
      <c r="H331" s="40">
        <v>6.55</v>
      </c>
      <c r="I331" s="40">
        <v>0</v>
      </c>
      <c r="J331" s="13">
        <f t="shared" si="79"/>
        <v>17.787499999999998</v>
      </c>
      <c r="K331" s="13"/>
      <c r="L331" s="15">
        <f t="shared" si="80"/>
        <v>0.08</v>
      </c>
      <c r="M331" s="13">
        <f t="shared" si="81"/>
        <v>2.2000000000000002</v>
      </c>
      <c r="N331" s="13">
        <f t="shared" si="82"/>
        <v>5.487499999999998</v>
      </c>
      <c r="O331" s="15">
        <f t="shared" si="83"/>
        <v>0.19954545454545447</v>
      </c>
      <c r="P331" s="16">
        <f t="shared" si="84"/>
        <v>27.52066115702479</v>
      </c>
      <c r="Q331" s="41">
        <f t="shared" si="85"/>
        <v>0.19999999999999993</v>
      </c>
      <c r="T331" s="42"/>
      <c r="U331" s="16">
        <f t="shared" si="86"/>
        <v>33.02479338842975</v>
      </c>
      <c r="V331" s="41">
        <f t="shared" si="87"/>
        <v>0.16666666666666674</v>
      </c>
      <c r="W331" s="17">
        <f t="shared" si="88"/>
        <v>0.30083333333333334</v>
      </c>
      <c r="X331" s="41">
        <f t="shared" si="89"/>
        <v>0.19999999999999993</v>
      </c>
      <c r="Y331" s="43">
        <f t="shared" si="90"/>
        <v>5.5041322314049559</v>
      </c>
      <c r="Z331" s="43">
        <f t="shared" si="91"/>
        <v>27.52066115702479</v>
      </c>
      <c r="AA331" s="44" t="str">
        <f t="shared" si="92"/>
        <v>OK</v>
      </c>
    </row>
    <row r="332" spans="1:27" ht="15" customHeight="1" x14ac:dyDescent="0.25">
      <c r="A332" s="12" t="s">
        <v>566</v>
      </c>
      <c r="B332" s="40">
        <v>35</v>
      </c>
      <c r="C332" s="12" t="s">
        <v>567</v>
      </c>
      <c r="D332" s="40">
        <v>74.900000000000006</v>
      </c>
      <c r="E332" s="13">
        <f t="shared" si="93"/>
        <v>8.6135000000000002</v>
      </c>
      <c r="F332" s="14"/>
      <c r="G332" s="15">
        <v>0.115</v>
      </c>
      <c r="H332" s="40">
        <v>8.5500000000000007</v>
      </c>
      <c r="I332" s="40">
        <v>0</v>
      </c>
      <c r="J332" s="13">
        <f t="shared" si="79"/>
        <v>57.736500000000007</v>
      </c>
      <c r="K332" s="13"/>
      <c r="L332" s="15">
        <f t="shared" si="80"/>
        <v>0.08</v>
      </c>
      <c r="M332" s="13">
        <f t="shared" si="81"/>
        <v>5.9920000000000009</v>
      </c>
      <c r="N332" s="13">
        <f t="shared" si="82"/>
        <v>16.744500000000006</v>
      </c>
      <c r="O332" s="15">
        <f t="shared" si="83"/>
        <v>0.22355807743658218</v>
      </c>
      <c r="P332" s="16">
        <f t="shared" si="84"/>
        <v>71.983471074380162</v>
      </c>
      <c r="Q332" s="41">
        <f t="shared" si="85"/>
        <v>0.19999999999999984</v>
      </c>
      <c r="T332" s="42"/>
      <c r="U332" s="16">
        <f t="shared" si="86"/>
        <v>86.380165289256198</v>
      </c>
      <c r="V332" s="41">
        <f t="shared" si="87"/>
        <v>0.16666666666666674</v>
      </c>
      <c r="W332" s="17">
        <f t="shared" si="88"/>
        <v>0.39981438959050902</v>
      </c>
      <c r="X332" s="41">
        <f t="shared" si="89"/>
        <v>0.19999999999999984</v>
      </c>
      <c r="Y332" s="43">
        <f t="shared" si="90"/>
        <v>14.396694214876021</v>
      </c>
      <c r="Z332" s="43">
        <f t="shared" si="91"/>
        <v>71.983471074380162</v>
      </c>
      <c r="AA332" s="44" t="str">
        <f t="shared" si="92"/>
        <v>OK</v>
      </c>
    </row>
    <row r="333" spans="1:27" ht="15" customHeight="1" x14ac:dyDescent="0.25">
      <c r="A333" s="12" t="s">
        <v>568</v>
      </c>
      <c r="B333" s="40">
        <v>7.02</v>
      </c>
      <c r="C333" s="12" t="s">
        <v>569</v>
      </c>
      <c r="D333" s="40">
        <v>24.9</v>
      </c>
      <c r="E333" s="13">
        <f t="shared" si="93"/>
        <v>3.2370000000000001</v>
      </c>
      <c r="F333" s="14"/>
      <c r="G333" s="15">
        <v>0.13</v>
      </c>
      <c r="H333" s="40">
        <v>6.75</v>
      </c>
      <c r="I333" s="40">
        <v>0</v>
      </c>
      <c r="J333" s="13">
        <f t="shared" si="79"/>
        <v>14.912999999999997</v>
      </c>
      <c r="K333" s="13"/>
      <c r="L333" s="15">
        <f t="shared" si="80"/>
        <v>0.08</v>
      </c>
      <c r="M333" s="13">
        <f t="shared" si="81"/>
        <v>1.992</v>
      </c>
      <c r="N333" s="13">
        <f t="shared" si="82"/>
        <v>5.9009999999999971</v>
      </c>
      <c r="O333" s="15">
        <f t="shared" si="83"/>
        <v>0.23698795180722881</v>
      </c>
      <c r="P333" s="16">
        <f t="shared" si="84"/>
        <v>23.338983050847453</v>
      </c>
      <c r="Q333" s="41">
        <f t="shared" si="85"/>
        <v>0.19999999999999987</v>
      </c>
      <c r="T333" s="42"/>
      <c r="U333" s="16">
        <f t="shared" si="86"/>
        <v>28.006779661016942</v>
      </c>
      <c r="V333" s="41">
        <f t="shared" si="87"/>
        <v>0.16666666666666663</v>
      </c>
      <c r="W333" s="17">
        <f t="shared" si="88"/>
        <v>0.29833333333333328</v>
      </c>
      <c r="X333" s="41">
        <f t="shared" si="89"/>
        <v>0.19999999999999987</v>
      </c>
      <c r="Y333" s="43">
        <f t="shared" si="90"/>
        <v>4.6677966101694874</v>
      </c>
      <c r="Z333" s="43">
        <f t="shared" si="91"/>
        <v>23.338983050847453</v>
      </c>
      <c r="AA333" s="44" t="str">
        <f t="shared" si="92"/>
        <v>OK</v>
      </c>
    </row>
    <row r="334" spans="1:27" ht="15" customHeight="1" x14ac:dyDescent="0.25">
      <c r="A334" s="12" t="s">
        <v>568</v>
      </c>
      <c r="B334" s="40">
        <v>7.02</v>
      </c>
      <c r="C334" s="12" t="s">
        <v>570</v>
      </c>
      <c r="D334" s="40">
        <v>24.9</v>
      </c>
      <c r="E334" s="13">
        <f t="shared" si="93"/>
        <v>3.2370000000000001</v>
      </c>
      <c r="F334" s="14"/>
      <c r="G334" s="15">
        <v>0.13</v>
      </c>
      <c r="H334" s="40">
        <v>6.75</v>
      </c>
      <c r="I334" s="40">
        <v>0</v>
      </c>
      <c r="J334" s="13">
        <f t="shared" si="79"/>
        <v>14.912999999999997</v>
      </c>
      <c r="K334" s="13"/>
      <c r="L334" s="15">
        <f t="shared" si="80"/>
        <v>0.08</v>
      </c>
      <c r="M334" s="13">
        <f t="shared" si="81"/>
        <v>1.992</v>
      </c>
      <c r="N334" s="13">
        <f t="shared" si="82"/>
        <v>5.9009999999999971</v>
      </c>
      <c r="O334" s="15">
        <f t="shared" si="83"/>
        <v>0.23698795180722881</v>
      </c>
      <c r="P334" s="16">
        <f t="shared" si="84"/>
        <v>23.338983050847453</v>
      </c>
      <c r="Q334" s="41">
        <f t="shared" si="85"/>
        <v>0.19999999999999987</v>
      </c>
      <c r="T334" s="42"/>
      <c r="U334" s="16">
        <f t="shared" si="86"/>
        <v>28.006779661016942</v>
      </c>
      <c r="V334" s="41">
        <f t="shared" si="87"/>
        <v>0.16666666666666663</v>
      </c>
      <c r="W334" s="17">
        <f t="shared" si="88"/>
        <v>0.29833333333333328</v>
      </c>
      <c r="X334" s="41">
        <f t="shared" si="89"/>
        <v>0.19999999999999987</v>
      </c>
      <c r="Y334" s="43">
        <f t="shared" si="90"/>
        <v>4.6677966101694874</v>
      </c>
      <c r="Z334" s="43">
        <f t="shared" si="91"/>
        <v>23.338983050847453</v>
      </c>
      <c r="AA334" s="44" t="str">
        <f t="shared" si="92"/>
        <v>OK</v>
      </c>
    </row>
    <row r="335" spans="1:27" ht="15" customHeight="1" x14ac:dyDescent="0.25">
      <c r="A335" s="12" t="s">
        <v>571</v>
      </c>
      <c r="B335" s="40">
        <v>20</v>
      </c>
      <c r="C335" s="12" t="s">
        <v>572</v>
      </c>
      <c r="D335" s="40">
        <v>47.9</v>
      </c>
      <c r="E335" s="13">
        <f t="shared" si="93"/>
        <v>5.5084999999999997</v>
      </c>
      <c r="F335" s="14"/>
      <c r="G335" s="15">
        <v>0.115</v>
      </c>
      <c r="H335" s="40">
        <v>8.5500000000000007</v>
      </c>
      <c r="I335" s="40">
        <v>0</v>
      </c>
      <c r="J335" s="13">
        <f t="shared" si="79"/>
        <v>33.841499999999996</v>
      </c>
      <c r="K335" s="13"/>
      <c r="L335" s="15">
        <f t="shared" si="80"/>
        <v>0.08</v>
      </c>
      <c r="M335" s="13">
        <f t="shared" si="81"/>
        <v>3.8319999999999999</v>
      </c>
      <c r="N335" s="13">
        <f t="shared" si="82"/>
        <v>10.009499999999996</v>
      </c>
      <c r="O335" s="15">
        <f t="shared" si="83"/>
        <v>0.20896659707724419</v>
      </c>
      <c r="P335" s="16">
        <f t="shared" si="84"/>
        <v>47.190082644628099</v>
      </c>
      <c r="Q335" s="41">
        <f t="shared" si="85"/>
        <v>0.20000000000000007</v>
      </c>
      <c r="T335" s="42"/>
      <c r="U335" s="16">
        <f t="shared" si="86"/>
        <v>56.628099173553714</v>
      </c>
      <c r="V335" s="41">
        <f t="shared" si="87"/>
        <v>0.16666666666666663</v>
      </c>
      <c r="W335" s="17">
        <f t="shared" si="88"/>
        <v>0.30083333333333334</v>
      </c>
      <c r="X335" s="41">
        <f t="shared" si="89"/>
        <v>0.20000000000000007</v>
      </c>
      <c r="Y335" s="43">
        <f t="shared" si="90"/>
        <v>9.4380165289256226</v>
      </c>
      <c r="Z335" s="43">
        <f t="shared" si="91"/>
        <v>47.190082644628099</v>
      </c>
      <c r="AA335" s="44" t="str">
        <f t="shared" si="92"/>
        <v>OK</v>
      </c>
    </row>
    <row r="336" spans="1:27" ht="15" customHeight="1" x14ac:dyDescent="0.25">
      <c r="A336" s="12" t="s">
        <v>573</v>
      </c>
      <c r="B336" s="40">
        <v>14.44</v>
      </c>
      <c r="C336" s="12" t="s">
        <v>574</v>
      </c>
      <c r="D336" s="40">
        <v>34.9</v>
      </c>
      <c r="E336" s="13">
        <f t="shared" si="93"/>
        <v>4.0134999999999996</v>
      </c>
      <c r="F336" s="14"/>
      <c r="G336" s="15">
        <v>0.115</v>
      </c>
      <c r="H336" s="40">
        <v>8.35</v>
      </c>
      <c r="I336" s="40">
        <v>0</v>
      </c>
      <c r="J336" s="13">
        <f t="shared" si="79"/>
        <v>22.536499999999997</v>
      </c>
      <c r="K336" s="13"/>
      <c r="L336" s="15">
        <f t="shared" si="80"/>
        <v>0.08</v>
      </c>
      <c r="M336" s="13">
        <f t="shared" si="81"/>
        <v>2.7919999999999998</v>
      </c>
      <c r="N336" s="13">
        <f t="shared" si="82"/>
        <v>5.3044999999999973</v>
      </c>
      <c r="O336" s="15">
        <f t="shared" si="83"/>
        <v>0.15199140401146125</v>
      </c>
      <c r="P336" s="16">
        <f t="shared" si="84"/>
        <v>37.669421487603309</v>
      </c>
      <c r="Q336" s="41">
        <f t="shared" si="85"/>
        <v>0.20000000000000004</v>
      </c>
      <c r="T336" s="42"/>
      <c r="U336" s="16">
        <f t="shared" si="86"/>
        <v>45.203305785123966</v>
      </c>
      <c r="V336" s="41">
        <f t="shared" si="87"/>
        <v>0.16666666666666663</v>
      </c>
      <c r="W336" s="17">
        <f t="shared" si="88"/>
        <v>0.30083333333333329</v>
      </c>
      <c r="X336" s="41">
        <f t="shared" si="89"/>
        <v>0.20000000000000004</v>
      </c>
      <c r="Y336" s="43">
        <f t="shared" si="90"/>
        <v>7.5338842975206628</v>
      </c>
      <c r="Z336" s="43">
        <f t="shared" si="91"/>
        <v>37.669421487603309</v>
      </c>
      <c r="AA336" s="44" t="str">
        <f t="shared" si="92"/>
        <v>OK</v>
      </c>
    </row>
    <row r="337" spans="1:27" ht="15" customHeight="1" x14ac:dyDescent="0.25">
      <c r="A337" s="12" t="s">
        <v>575</v>
      </c>
      <c r="B337" s="40">
        <v>11.01</v>
      </c>
      <c r="C337" s="12" t="s">
        <v>576</v>
      </c>
      <c r="D337" s="40">
        <v>26.9</v>
      </c>
      <c r="E337" s="13">
        <f t="shared" si="93"/>
        <v>3.0935000000000001</v>
      </c>
      <c r="F337" s="14"/>
      <c r="G337" s="15">
        <v>0.115</v>
      </c>
      <c r="H337" s="40">
        <v>6.95</v>
      </c>
      <c r="I337" s="40">
        <v>0</v>
      </c>
      <c r="J337" s="13">
        <f t="shared" si="79"/>
        <v>16.8565</v>
      </c>
      <c r="K337" s="13"/>
      <c r="L337" s="15">
        <f t="shared" si="80"/>
        <v>0.08</v>
      </c>
      <c r="M337" s="13">
        <f t="shared" si="81"/>
        <v>2.1520000000000001</v>
      </c>
      <c r="N337" s="13">
        <f t="shared" si="82"/>
        <v>3.6945000000000006</v>
      </c>
      <c r="O337" s="15">
        <f t="shared" si="83"/>
        <v>0.13734200743494426</v>
      </c>
      <c r="P337" s="16">
        <f t="shared" si="84"/>
        <v>29.685950413223143</v>
      </c>
      <c r="Q337" s="41">
        <f t="shared" si="85"/>
        <v>0.20000000000000009</v>
      </c>
      <c r="T337" s="42"/>
      <c r="U337" s="16">
        <f t="shared" si="86"/>
        <v>35.623140495867773</v>
      </c>
      <c r="V337" s="41">
        <f t="shared" si="87"/>
        <v>0.16666666666666674</v>
      </c>
      <c r="W337" s="17">
        <f t="shared" si="88"/>
        <v>0.3008333333333334</v>
      </c>
      <c r="X337" s="41">
        <f t="shared" si="89"/>
        <v>0.20000000000000009</v>
      </c>
      <c r="Y337" s="43">
        <f t="shared" si="90"/>
        <v>5.9371900826446318</v>
      </c>
      <c r="Z337" s="43">
        <f t="shared" si="91"/>
        <v>29.685950413223143</v>
      </c>
      <c r="AA337" s="44" t="str">
        <f t="shared" si="92"/>
        <v>OK</v>
      </c>
    </row>
    <row r="338" spans="1:27" ht="15" customHeight="1" x14ac:dyDescent="0.25">
      <c r="A338" s="12" t="s">
        <v>577</v>
      </c>
      <c r="B338" s="40">
        <v>10.6</v>
      </c>
      <c r="C338" s="12" t="s">
        <v>578</v>
      </c>
      <c r="D338" s="40">
        <v>26.9</v>
      </c>
      <c r="E338" s="13">
        <f t="shared" si="93"/>
        <v>3.0935000000000001</v>
      </c>
      <c r="F338" s="14"/>
      <c r="G338" s="15">
        <v>0.115</v>
      </c>
      <c r="H338" s="40">
        <v>6.75</v>
      </c>
      <c r="I338" s="40">
        <v>0</v>
      </c>
      <c r="J338" s="13">
        <f t="shared" si="79"/>
        <v>17.0565</v>
      </c>
      <c r="K338" s="13"/>
      <c r="L338" s="15">
        <f t="shared" si="80"/>
        <v>0.08</v>
      </c>
      <c r="M338" s="13">
        <f t="shared" si="81"/>
        <v>2.1520000000000001</v>
      </c>
      <c r="N338" s="13">
        <f t="shared" si="82"/>
        <v>4.3045</v>
      </c>
      <c r="O338" s="15">
        <f t="shared" si="83"/>
        <v>0.16001858736059479</v>
      </c>
      <c r="P338" s="16">
        <f t="shared" si="84"/>
        <v>28.677685950413228</v>
      </c>
      <c r="Q338" s="41">
        <f t="shared" si="85"/>
        <v>0.20000000000000007</v>
      </c>
      <c r="T338" s="42"/>
      <c r="U338" s="16">
        <f t="shared" si="86"/>
        <v>34.413223140495873</v>
      </c>
      <c r="V338" s="41">
        <f t="shared" si="87"/>
        <v>0.16666666666666663</v>
      </c>
      <c r="W338" s="17">
        <f t="shared" si="88"/>
        <v>0.30083333333333334</v>
      </c>
      <c r="X338" s="41">
        <f t="shared" si="89"/>
        <v>0.20000000000000007</v>
      </c>
      <c r="Y338" s="43">
        <f t="shared" si="90"/>
        <v>5.7355371900826473</v>
      </c>
      <c r="Z338" s="43">
        <f t="shared" si="91"/>
        <v>28.677685950413228</v>
      </c>
      <c r="AA338" s="44" t="str">
        <f t="shared" si="92"/>
        <v>OK</v>
      </c>
    </row>
    <row r="339" spans="1:27" ht="15" customHeight="1" x14ac:dyDescent="0.25">
      <c r="A339" s="12" t="s">
        <v>579</v>
      </c>
      <c r="B339" s="40">
        <v>2.96</v>
      </c>
      <c r="C339" s="12" t="s">
        <v>580</v>
      </c>
      <c r="D339" s="40">
        <v>13.9</v>
      </c>
      <c r="E339" s="13">
        <f t="shared" si="93"/>
        <v>1.5985</v>
      </c>
      <c r="F339" s="14"/>
      <c r="G339" s="15">
        <v>0.115</v>
      </c>
      <c r="H339" s="40">
        <v>8.5500000000000007</v>
      </c>
      <c r="I339" s="40">
        <v>0</v>
      </c>
      <c r="J339" s="13">
        <f t="shared" si="79"/>
        <v>3.7515000000000001</v>
      </c>
      <c r="K339" s="13"/>
      <c r="L339" s="15">
        <f t="shared" si="80"/>
        <v>0.08</v>
      </c>
      <c r="M339" s="13">
        <f t="shared" si="81"/>
        <v>1.1120000000000001</v>
      </c>
      <c r="N339" s="13">
        <f t="shared" si="82"/>
        <v>-0.32050000000000001</v>
      </c>
      <c r="O339" s="15">
        <f t="shared" si="83"/>
        <v>-2.3057553956834533E-2</v>
      </c>
      <c r="P339" s="16">
        <f t="shared" si="84"/>
        <v>19.024793388429757</v>
      </c>
      <c r="Q339" s="41">
        <f t="shared" si="85"/>
        <v>0.20000000000000021</v>
      </c>
      <c r="T339" s="42"/>
      <c r="U339" s="16">
        <f t="shared" si="86"/>
        <v>22.829752066115706</v>
      </c>
      <c r="V339" s="41">
        <f t="shared" si="87"/>
        <v>0.16666666666666663</v>
      </c>
      <c r="W339" s="17">
        <f t="shared" si="88"/>
        <v>0.30083333333333329</v>
      </c>
      <c r="X339" s="41">
        <f t="shared" si="89"/>
        <v>0.20000000000000021</v>
      </c>
      <c r="Y339" s="43">
        <f t="shared" si="90"/>
        <v>3.8049586776859554</v>
      </c>
      <c r="Z339" s="43">
        <f t="shared" si="91"/>
        <v>19.024793388429757</v>
      </c>
      <c r="AA339" s="44" t="str">
        <f t="shared" si="92"/>
        <v>OK</v>
      </c>
    </row>
    <row r="340" spans="1:27" ht="15" customHeight="1" x14ac:dyDescent="0.25">
      <c r="A340" s="12" t="s">
        <v>581</v>
      </c>
      <c r="B340" s="40">
        <v>5.93</v>
      </c>
      <c r="C340" s="12" t="s">
        <v>582</v>
      </c>
      <c r="D340" s="40">
        <v>21.59</v>
      </c>
      <c r="E340" s="13">
        <f t="shared" si="93"/>
        <v>3.0226000000000002</v>
      </c>
      <c r="F340" s="14"/>
      <c r="G340" s="15">
        <v>0.14000000000000001</v>
      </c>
      <c r="H340" s="40">
        <v>6.55</v>
      </c>
      <c r="I340" s="40">
        <v>0</v>
      </c>
      <c r="J340" s="13">
        <f t="shared" si="79"/>
        <v>12.017399999999999</v>
      </c>
      <c r="K340" s="13"/>
      <c r="L340" s="15">
        <f t="shared" si="80"/>
        <v>0.08</v>
      </c>
      <c r="M340" s="13">
        <f t="shared" si="81"/>
        <v>1.7272000000000001</v>
      </c>
      <c r="N340" s="13">
        <f t="shared" si="82"/>
        <v>4.360199999999999</v>
      </c>
      <c r="O340" s="15">
        <f t="shared" si="83"/>
        <v>0.20195460861509953</v>
      </c>
      <c r="P340" s="16">
        <f t="shared" si="84"/>
        <v>21.517241379310342</v>
      </c>
      <c r="Q340" s="41">
        <f t="shared" si="85"/>
        <v>0.19999999999999984</v>
      </c>
      <c r="T340" s="42"/>
      <c r="U340" s="16">
        <f t="shared" si="86"/>
        <v>25.820689655172409</v>
      </c>
      <c r="V340" s="41">
        <f t="shared" si="87"/>
        <v>0.16666666666666663</v>
      </c>
      <c r="W340" s="17">
        <f t="shared" si="88"/>
        <v>0.29666666666666658</v>
      </c>
      <c r="X340" s="41">
        <f t="shared" si="89"/>
        <v>0.19999999999999984</v>
      </c>
      <c r="Y340" s="43">
        <f t="shared" si="90"/>
        <v>4.3034482758620651</v>
      </c>
      <c r="Z340" s="43">
        <f t="shared" si="91"/>
        <v>21.517241379310342</v>
      </c>
      <c r="AA340" s="44" t="str">
        <f t="shared" si="92"/>
        <v>OK</v>
      </c>
    </row>
    <row r="341" spans="1:27" ht="15" customHeight="1" x14ac:dyDescent="0.25">
      <c r="A341" s="12" t="s">
        <v>583</v>
      </c>
      <c r="B341" s="40">
        <v>14.52</v>
      </c>
      <c r="C341" s="12" t="s">
        <v>584</v>
      </c>
      <c r="D341" s="40">
        <v>30.9</v>
      </c>
      <c r="E341" s="13">
        <f t="shared" si="93"/>
        <v>3.5535000000000001</v>
      </c>
      <c r="F341" s="14"/>
      <c r="G341" s="15">
        <v>0.115</v>
      </c>
      <c r="H341" s="40">
        <v>6.85</v>
      </c>
      <c r="I341" s="40">
        <v>0</v>
      </c>
      <c r="J341" s="13">
        <f t="shared" si="79"/>
        <v>20.496499999999997</v>
      </c>
      <c r="K341" s="13"/>
      <c r="L341" s="15">
        <f t="shared" si="80"/>
        <v>0.08</v>
      </c>
      <c r="M341" s="13">
        <f t="shared" si="81"/>
        <v>2.472</v>
      </c>
      <c r="N341" s="13">
        <f t="shared" si="82"/>
        <v>3.504499999999998</v>
      </c>
      <c r="O341" s="15">
        <f t="shared" si="83"/>
        <v>0.11341423948220059</v>
      </c>
      <c r="P341" s="16">
        <f t="shared" si="84"/>
        <v>35.322314049586772</v>
      </c>
      <c r="Q341" s="41">
        <f t="shared" si="85"/>
        <v>0.19999999999999993</v>
      </c>
      <c r="T341" s="42"/>
      <c r="U341" s="16">
        <f t="shared" si="86"/>
        <v>42.386776859504124</v>
      </c>
      <c r="V341" s="41">
        <f t="shared" si="87"/>
        <v>0.16666666666666663</v>
      </c>
      <c r="W341" s="17">
        <f t="shared" si="88"/>
        <v>0.30083333333333317</v>
      </c>
      <c r="X341" s="41">
        <f t="shared" si="89"/>
        <v>0.19999999999999993</v>
      </c>
      <c r="Y341" s="43">
        <f t="shared" si="90"/>
        <v>7.0644628099173516</v>
      </c>
      <c r="Z341" s="43">
        <f t="shared" si="91"/>
        <v>35.322314049586772</v>
      </c>
      <c r="AA341" s="44" t="str">
        <f t="shared" si="92"/>
        <v>OK</v>
      </c>
    </row>
    <row r="342" spans="1:27" ht="15" customHeight="1" x14ac:dyDescent="0.25">
      <c r="A342" s="12" t="s">
        <v>585</v>
      </c>
      <c r="B342" s="40">
        <v>14.52</v>
      </c>
      <c r="C342" s="12" t="s">
        <v>586</v>
      </c>
      <c r="D342" s="40">
        <v>30.9</v>
      </c>
      <c r="E342" s="13">
        <f t="shared" si="93"/>
        <v>3.5535000000000001</v>
      </c>
      <c r="F342" s="14"/>
      <c r="G342" s="15">
        <v>0.115</v>
      </c>
      <c r="H342" s="40">
        <v>6.85</v>
      </c>
      <c r="I342" s="40">
        <v>0</v>
      </c>
      <c r="J342" s="13">
        <f t="shared" si="79"/>
        <v>20.496499999999997</v>
      </c>
      <c r="K342" s="13"/>
      <c r="L342" s="15">
        <f t="shared" si="80"/>
        <v>0.08</v>
      </c>
      <c r="M342" s="13">
        <f t="shared" si="81"/>
        <v>2.472</v>
      </c>
      <c r="N342" s="13">
        <f t="shared" si="82"/>
        <v>3.504499999999998</v>
      </c>
      <c r="O342" s="15">
        <f t="shared" si="83"/>
        <v>0.11341423948220059</v>
      </c>
      <c r="P342" s="16">
        <f t="shared" si="84"/>
        <v>35.322314049586772</v>
      </c>
      <c r="Q342" s="41">
        <f t="shared" si="85"/>
        <v>0.19999999999999993</v>
      </c>
      <c r="T342" s="42"/>
      <c r="U342" s="16">
        <f t="shared" si="86"/>
        <v>42.386776859504124</v>
      </c>
      <c r="V342" s="41">
        <f t="shared" si="87"/>
        <v>0.16666666666666663</v>
      </c>
      <c r="W342" s="17">
        <f t="shared" si="88"/>
        <v>0.30083333333333317</v>
      </c>
      <c r="X342" s="41">
        <f t="shared" si="89"/>
        <v>0.19999999999999993</v>
      </c>
      <c r="Y342" s="43">
        <f t="shared" si="90"/>
        <v>7.0644628099173516</v>
      </c>
      <c r="Z342" s="43">
        <f t="shared" si="91"/>
        <v>35.322314049586772</v>
      </c>
      <c r="AA342" s="44" t="str">
        <f t="shared" si="92"/>
        <v>OK</v>
      </c>
    </row>
    <row r="343" spans="1:27" ht="15" customHeight="1" x14ac:dyDescent="0.25">
      <c r="A343" s="12" t="s">
        <v>587</v>
      </c>
      <c r="B343" s="40">
        <v>14.52</v>
      </c>
      <c r="C343" s="12" t="s">
        <v>588</v>
      </c>
      <c r="D343" s="40">
        <v>30.9</v>
      </c>
      <c r="E343" s="13">
        <f t="shared" si="93"/>
        <v>3.5535000000000001</v>
      </c>
      <c r="F343" s="14"/>
      <c r="G343" s="15">
        <v>0.115</v>
      </c>
      <c r="H343" s="40">
        <v>6.85</v>
      </c>
      <c r="I343" s="40">
        <v>0</v>
      </c>
      <c r="J343" s="13">
        <f t="shared" si="79"/>
        <v>20.496499999999997</v>
      </c>
      <c r="K343" s="13"/>
      <c r="L343" s="15">
        <f t="shared" si="80"/>
        <v>0.08</v>
      </c>
      <c r="M343" s="13">
        <f t="shared" si="81"/>
        <v>2.472</v>
      </c>
      <c r="N343" s="13">
        <f t="shared" si="82"/>
        <v>3.504499999999998</v>
      </c>
      <c r="O343" s="15">
        <f t="shared" si="83"/>
        <v>0.11341423948220059</v>
      </c>
      <c r="P343" s="16">
        <f t="shared" si="84"/>
        <v>35.322314049586772</v>
      </c>
      <c r="Q343" s="41">
        <f t="shared" si="85"/>
        <v>0.19999999999999993</v>
      </c>
      <c r="T343" s="42"/>
      <c r="U343" s="16">
        <f t="shared" si="86"/>
        <v>42.386776859504124</v>
      </c>
      <c r="V343" s="41">
        <f t="shared" si="87"/>
        <v>0.16666666666666663</v>
      </c>
      <c r="W343" s="17">
        <f t="shared" si="88"/>
        <v>0.30083333333333317</v>
      </c>
      <c r="X343" s="41">
        <f t="shared" si="89"/>
        <v>0.19999999999999993</v>
      </c>
      <c r="Y343" s="43">
        <f t="shared" si="90"/>
        <v>7.0644628099173516</v>
      </c>
      <c r="Z343" s="43">
        <f t="shared" si="91"/>
        <v>35.322314049586772</v>
      </c>
      <c r="AA343" s="44" t="str">
        <f t="shared" si="92"/>
        <v>OK</v>
      </c>
    </row>
    <row r="344" spans="1:27" ht="15" customHeight="1" x14ac:dyDescent="0.25">
      <c r="A344" s="12" t="s">
        <v>589</v>
      </c>
      <c r="B344" s="40">
        <v>4.8099999999999996</v>
      </c>
      <c r="C344" s="12" t="s">
        <v>590</v>
      </c>
      <c r="D344" s="40">
        <v>17.5</v>
      </c>
      <c r="E344" s="13">
        <f t="shared" si="93"/>
        <v>2.0125000000000002</v>
      </c>
      <c r="F344" s="14"/>
      <c r="G344" s="15">
        <v>0.115</v>
      </c>
      <c r="H344" s="40">
        <v>8.5500000000000007</v>
      </c>
      <c r="I344" s="40">
        <v>0</v>
      </c>
      <c r="J344" s="13">
        <f t="shared" si="79"/>
        <v>6.9375</v>
      </c>
      <c r="K344" s="13"/>
      <c r="L344" s="15">
        <f t="shared" si="80"/>
        <v>0.08</v>
      </c>
      <c r="M344" s="13">
        <f t="shared" si="81"/>
        <v>1.4000000000000001</v>
      </c>
      <c r="N344" s="13">
        <f t="shared" si="82"/>
        <v>0.72750000000000026</v>
      </c>
      <c r="O344" s="15">
        <f t="shared" si="83"/>
        <v>4.1571428571428586E-2</v>
      </c>
      <c r="P344" s="16">
        <f t="shared" si="84"/>
        <v>22.082644628099175</v>
      </c>
      <c r="Q344" s="41">
        <f t="shared" si="85"/>
        <v>0.19999999999999996</v>
      </c>
      <c r="T344" s="42"/>
      <c r="U344" s="16">
        <f t="shared" si="86"/>
        <v>26.499173553719007</v>
      </c>
      <c r="V344" s="41">
        <f t="shared" si="87"/>
        <v>0.16666666666666663</v>
      </c>
      <c r="W344" s="17">
        <f t="shared" si="88"/>
        <v>0.30083333333333334</v>
      </c>
      <c r="X344" s="41">
        <f t="shared" si="89"/>
        <v>0.19999999999999996</v>
      </c>
      <c r="Y344" s="43">
        <f t="shared" si="90"/>
        <v>4.4165289256198337</v>
      </c>
      <c r="Z344" s="43">
        <f t="shared" si="91"/>
        <v>22.082644628099175</v>
      </c>
      <c r="AA344" s="44" t="str">
        <f t="shared" si="92"/>
        <v>OK</v>
      </c>
    </row>
    <row r="345" spans="1:27" ht="15" customHeight="1" x14ac:dyDescent="0.25">
      <c r="A345" s="12" t="s">
        <v>591</v>
      </c>
      <c r="B345" s="40">
        <v>11.97</v>
      </c>
      <c r="C345" s="12" t="s">
        <v>592</v>
      </c>
      <c r="D345" s="40">
        <v>27.09</v>
      </c>
      <c r="E345" s="13">
        <f t="shared" si="93"/>
        <v>3.1153500000000003</v>
      </c>
      <c r="F345" s="14"/>
      <c r="G345" s="15">
        <v>0.115</v>
      </c>
      <c r="H345" s="40">
        <v>6.75</v>
      </c>
      <c r="I345" s="40">
        <v>0</v>
      </c>
      <c r="J345" s="13">
        <f t="shared" si="79"/>
        <v>17.22465</v>
      </c>
      <c r="K345" s="13"/>
      <c r="L345" s="15">
        <f t="shared" si="80"/>
        <v>0.08</v>
      </c>
      <c r="M345" s="13">
        <f t="shared" si="81"/>
        <v>2.1672000000000002</v>
      </c>
      <c r="N345" s="13">
        <f t="shared" si="82"/>
        <v>3.0874499999999996</v>
      </c>
      <c r="O345" s="15">
        <f t="shared" si="83"/>
        <v>0.11397009966777408</v>
      </c>
      <c r="P345" s="16">
        <f t="shared" si="84"/>
        <v>30.942148760330578</v>
      </c>
      <c r="Q345" s="41">
        <f t="shared" si="85"/>
        <v>0.19999999999999998</v>
      </c>
      <c r="T345" s="42"/>
      <c r="U345" s="16">
        <f t="shared" si="86"/>
        <v>37.130578512396696</v>
      </c>
      <c r="V345" s="41">
        <f t="shared" si="87"/>
        <v>0.16666666666666674</v>
      </c>
      <c r="W345" s="17">
        <f t="shared" si="88"/>
        <v>0.30083333333333317</v>
      </c>
      <c r="X345" s="41">
        <f t="shared" si="89"/>
        <v>0.19999999999999998</v>
      </c>
      <c r="Y345" s="43">
        <f t="shared" si="90"/>
        <v>6.1884297520661153</v>
      </c>
      <c r="Z345" s="43">
        <f t="shared" si="91"/>
        <v>30.942148760330578</v>
      </c>
      <c r="AA345" s="44" t="str">
        <f t="shared" si="92"/>
        <v>OK</v>
      </c>
    </row>
    <row r="346" spans="1:27" ht="15" customHeight="1" x14ac:dyDescent="0.25">
      <c r="A346" s="12" t="s">
        <v>593</v>
      </c>
      <c r="B346" s="40">
        <v>11.97</v>
      </c>
      <c r="C346" s="12" t="s">
        <v>594</v>
      </c>
      <c r="D346" s="40">
        <v>27.09</v>
      </c>
      <c r="E346" s="13">
        <f t="shared" si="93"/>
        <v>3.1153500000000003</v>
      </c>
      <c r="F346" s="14"/>
      <c r="G346" s="15">
        <v>0.115</v>
      </c>
      <c r="H346" s="40">
        <v>6.75</v>
      </c>
      <c r="I346" s="40">
        <v>0</v>
      </c>
      <c r="J346" s="13">
        <f t="shared" si="79"/>
        <v>17.22465</v>
      </c>
      <c r="K346" s="13"/>
      <c r="L346" s="15">
        <f t="shared" si="80"/>
        <v>0.08</v>
      </c>
      <c r="M346" s="13">
        <f t="shared" si="81"/>
        <v>2.1672000000000002</v>
      </c>
      <c r="N346" s="13">
        <f t="shared" si="82"/>
        <v>3.0874499999999996</v>
      </c>
      <c r="O346" s="15">
        <f t="shared" si="83"/>
        <v>0.11397009966777408</v>
      </c>
      <c r="P346" s="16">
        <f t="shared" si="84"/>
        <v>30.942148760330578</v>
      </c>
      <c r="Q346" s="41">
        <f t="shared" si="85"/>
        <v>0.19999999999999998</v>
      </c>
      <c r="T346" s="42"/>
      <c r="U346" s="16">
        <f t="shared" si="86"/>
        <v>37.130578512396696</v>
      </c>
      <c r="V346" s="41">
        <f t="shared" si="87"/>
        <v>0.16666666666666674</v>
      </c>
      <c r="W346" s="17">
        <f t="shared" si="88"/>
        <v>0.30083333333333317</v>
      </c>
      <c r="X346" s="41">
        <f t="shared" si="89"/>
        <v>0.19999999999999998</v>
      </c>
      <c r="Y346" s="43">
        <f t="shared" si="90"/>
        <v>6.1884297520661153</v>
      </c>
      <c r="Z346" s="43">
        <f t="shared" si="91"/>
        <v>30.942148760330578</v>
      </c>
      <c r="AA346" s="44" t="str">
        <f t="shared" si="92"/>
        <v>OK</v>
      </c>
    </row>
    <row r="347" spans="1:27" ht="15" customHeight="1" x14ac:dyDescent="0.25">
      <c r="A347" s="12" t="s">
        <v>595</v>
      </c>
      <c r="B347" s="40">
        <v>11.97</v>
      </c>
      <c r="C347" s="12" t="s">
        <v>596</v>
      </c>
      <c r="D347" s="40">
        <v>27.09</v>
      </c>
      <c r="E347" s="13">
        <f t="shared" si="93"/>
        <v>3.1153500000000003</v>
      </c>
      <c r="F347" s="14"/>
      <c r="G347" s="15">
        <v>0.115</v>
      </c>
      <c r="H347" s="40">
        <v>6.75</v>
      </c>
      <c r="I347" s="40">
        <v>0</v>
      </c>
      <c r="J347" s="13">
        <f t="shared" si="79"/>
        <v>17.22465</v>
      </c>
      <c r="K347" s="13"/>
      <c r="L347" s="15">
        <f t="shared" si="80"/>
        <v>0.08</v>
      </c>
      <c r="M347" s="13">
        <f t="shared" si="81"/>
        <v>2.1672000000000002</v>
      </c>
      <c r="N347" s="13">
        <f t="shared" si="82"/>
        <v>3.0874499999999996</v>
      </c>
      <c r="O347" s="15">
        <f t="shared" si="83"/>
        <v>0.11397009966777408</v>
      </c>
      <c r="P347" s="16">
        <f t="shared" si="84"/>
        <v>30.942148760330578</v>
      </c>
      <c r="Q347" s="41">
        <f t="shared" si="85"/>
        <v>0.19999999999999998</v>
      </c>
      <c r="T347" s="42"/>
      <c r="U347" s="16">
        <f t="shared" si="86"/>
        <v>37.130578512396696</v>
      </c>
      <c r="V347" s="41">
        <f t="shared" si="87"/>
        <v>0.16666666666666674</v>
      </c>
      <c r="W347" s="17">
        <f t="shared" si="88"/>
        <v>0.30083333333333317</v>
      </c>
      <c r="X347" s="41">
        <f t="shared" si="89"/>
        <v>0.19999999999999998</v>
      </c>
      <c r="Y347" s="43">
        <f t="shared" si="90"/>
        <v>6.1884297520661153</v>
      </c>
      <c r="Z347" s="43">
        <f t="shared" si="91"/>
        <v>30.942148760330578</v>
      </c>
      <c r="AA347" s="44" t="str">
        <f t="shared" si="92"/>
        <v>OK</v>
      </c>
    </row>
    <row r="348" spans="1:27" ht="15" customHeight="1" x14ac:dyDescent="0.25">
      <c r="A348" s="12" t="s">
        <v>597</v>
      </c>
      <c r="B348" s="40">
        <v>8.35</v>
      </c>
      <c r="C348" s="12" t="s">
        <v>598</v>
      </c>
      <c r="D348" s="40">
        <v>23.9</v>
      </c>
      <c r="E348" s="13">
        <f t="shared" si="93"/>
        <v>2.7484999999999999</v>
      </c>
      <c r="F348" s="14"/>
      <c r="G348" s="15">
        <v>0.115</v>
      </c>
      <c r="H348" s="40">
        <v>6.75</v>
      </c>
      <c r="I348" s="40">
        <v>0</v>
      </c>
      <c r="J348" s="13">
        <f t="shared" si="79"/>
        <v>14.401499999999999</v>
      </c>
      <c r="K348" s="13"/>
      <c r="L348" s="15">
        <f t="shared" si="80"/>
        <v>0.08</v>
      </c>
      <c r="M348" s="13">
        <f t="shared" si="81"/>
        <v>1.9119999999999999</v>
      </c>
      <c r="N348" s="13">
        <f t="shared" si="82"/>
        <v>4.1394999999999991</v>
      </c>
      <c r="O348" s="15">
        <f t="shared" si="83"/>
        <v>0.17320083682008366</v>
      </c>
      <c r="P348" s="16">
        <f t="shared" si="84"/>
        <v>24.958677685950413</v>
      </c>
      <c r="Q348" s="41">
        <f t="shared" si="85"/>
        <v>0.2</v>
      </c>
      <c r="T348" s="42"/>
      <c r="U348" s="16">
        <f t="shared" si="86"/>
        <v>29.950413223140494</v>
      </c>
      <c r="V348" s="41">
        <f t="shared" si="87"/>
        <v>0.16666666666666663</v>
      </c>
      <c r="W348" s="17">
        <f t="shared" si="88"/>
        <v>0.3008333333333334</v>
      </c>
      <c r="X348" s="41">
        <f t="shared" si="89"/>
        <v>0.2</v>
      </c>
      <c r="Y348" s="43">
        <f t="shared" si="90"/>
        <v>4.9917355371900829</v>
      </c>
      <c r="Z348" s="43">
        <f t="shared" si="91"/>
        <v>24.958677685950413</v>
      </c>
      <c r="AA348" s="44" t="str">
        <f t="shared" si="92"/>
        <v>OK</v>
      </c>
    </row>
    <row r="349" spans="1:27" ht="15" customHeight="1" x14ac:dyDescent="0.25">
      <c r="A349" s="12" t="s">
        <v>599</v>
      </c>
      <c r="B349" s="40">
        <v>9.3000000000000007</v>
      </c>
      <c r="C349" s="12" t="s">
        <v>600</v>
      </c>
      <c r="D349" s="40">
        <v>22.9</v>
      </c>
      <c r="E349" s="13">
        <f t="shared" si="93"/>
        <v>2.6334999999999997</v>
      </c>
      <c r="F349" s="14"/>
      <c r="G349" s="15">
        <v>0.115</v>
      </c>
      <c r="H349" s="40">
        <v>6.65</v>
      </c>
      <c r="I349" s="40">
        <v>0</v>
      </c>
      <c r="J349" s="13">
        <f t="shared" si="79"/>
        <v>13.6165</v>
      </c>
      <c r="K349" s="13"/>
      <c r="L349" s="15">
        <f t="shared" si="80"/>
        <v>0.08</v>
      </c>
      <c r="M349" s="13">
        <f t="shared" si="81"/>
        <v>1.8319999999999999</v>
      </c>
      <c r="N349" s="13">
        <f t="shared" si="82"/>
        <v>2.4844999999999997</v>
      </c>
      <c r="O349" s="15">
        <f t="shared" si="83"/>
        <v>0.10849344978165938</v>
      </c>
      <c r="P349" s="16">
        <f t="shared" si="84"/>
        <v>26.363636363636367</v>
      </c>
      <c r="Q349" s="41">
        <f t="shared" si="85"/>
        <v>0.20000000000000012</v>
      </c>
      <c r="T349" s="42"/>
      <c r="U349" s="16">
        <f t="shared" si="86"/>
        <v>31.63636363636364</v>
      </c>
      <c r="V349" s="41">
        <f t="shared" si="87"/>
        <v>0.16666666666666663</v>
      </c>
      <c r="W349" s="17">
        <f t="shared" si="88"/>
        <v>0.30083333333333334</v>
      </c>
      <c r="X349" s="41">
        <f t="shared" si="89"/>
        <v>0.20000000000000012</v>
      </c>
      <c r="Y349" s="43">
        <f t="shared" si="90"/>
        <v>5.2727272727272769</v>
      </c>
      <c r="Z349" s="43">
        <f t="shared" si="91"/>
        <v>26.363636363636367</v>
      </c>
      <c r="AA349" s="44" t="str">
        <f t="shared" si="92"/>
        <v>OK</v>
      </c>
    </row>
    <row r="350" spans="1:27" ht="15" customHeight="1" x14ac:dyDescent="0.25">
      <c r="A350" s="12" t="s">
        <v>601</v>
      </c>
      <c r="B350" s="40">
        <v>18.100000000000001</v>
      </c>
      <c r="C350" s="12" t="s">
        <v>602</v>
      </c>
      <c r="D350" s="40">
        <v>38.9</v>
      </c>
      <c r="E350" s="13">
        <f t="shared" si="93"/>
        <v>4.4734999999999996</v>
      </c>
      <c r="F350" s="14"/>
      <c r="G350" s="15">
        <v>0.115</v>
      </c>
      <c r="H350" s="40">
        <v>6.65</v>
      </c>
      <c r="I350" s="40">
        <v>0</v>
      </c>
      <c r="J350" s="13">
        <f t="shared" si="79"/>
        <v>27.776499999999999</v>
      </c>
      <c r="K350" s="13"/>
      <c r="L350" s="15">
        <f t="shared" si="80"/>
        <v>0.08</v>
      </c>
      <c r="M350" s="13">
        <f t="shared" si="81"/>
        <v>3.1120000000000001</v>
      </c>
      <c r="N350" s="13">
        <f t="shared" si="82"/>
        <v>6.5644999999999971</v>
      </c>
      <c r="O350" s="15">
        <f t="shared" si="83"/>
        <v>0.16875321336760918</v>
      </c>
      <c r="P350" s="16">
        <f t="shared" si="84"/>
        <v>40.909090909090914</v>
      </c>
      <c r="Q350" s="41">
        <f t="shared" si="85"/>
        <v>0.20000000000000009</v>
      </c>
      <c r="T350" s="42"/>
      <c r="U350" s="16">
        <f t="shared" si="86"/>
        <v>49.090909090909093</v>
      </c>
      <c r="V350" s="41">
        <f t="shared" si="87"/>
        <v>0.16666666666666663</v>
      </c>
      <c r="W350" s="17">
        <f t="shared" si="88"/>
        <v>0.30083333333333329</v>
      </c>
      <c r="X350" s="41">
        <f t="shared" si="89"/>
        <v>0.20000000000000009</v>
      </c>
      <c r="Y350" s="43">
        <f t="shared" si="90"/>
        <v>8.181818181818187</v>
      </c>
      <c r="Z350" s="43">
        <f t="shared" si="91"/>
        <v>40.909090909090914</v>
      </c>
      <c r="AA350" s="44" t="str">
        <f t="shared" si="92"/>
        <v>OK</v>
      </c>
    </row>
    <row r="351" spans="1:27" ht="15" customHeight="1" x14ac:dyDescent="0.25">
      <c r="A351" s="12" t="s">
        <v>597</v>
      </c>
      <c r="B351" s="40">
        <v>8.35</v>
      </c>
      <c r="C351" s="12" t="s">
        <v>603</v>
      </c>
      <c r="D351" s="40">
        <v>23.9</v>
      </c>
      <c r="E351" s="13">
        <f t="shared" si="93"/>
        <v>2.7484999999999999</v>
      </c>
      <c r="F351" s="14"/>
      <c r="G351" s="15">
        <v>0.115</v>
      </c>
      <c r="H351" s="40">
        <v>6.75</v>
      </c>
      <c r="I351" s="40">
        <v>0</v>
      </c>
      <c r="J351" s="13">
        <f t="shared" si="79"/>
        <v>14.401499999999999</v>
      </c>
      <c r="K351" s="13"/>
      <c r="L351" s="15">
        <f t="shared" si="80"/>
        <v>0.08</v>
      </c>
      <c r="M351" s="13">
        <f t="shared" si="81"/>
        <v>1.9119999999999999</v>
      </c>
      <c r="N351" s="13">
        <f t="shared" si="82"/>
        <v>4.1394999999999991</v>
      </c>
      <c r="O351" s="15">
        <f t="shared" si="83"/>
        <v>0.17320083682008366</v>
      </c>
      <c r="P351" s="16">
        <f t="shared" si="84"/>
        <v>24.958677685950413</v>
      </c>
      <c r="Q351" s="41">
        <f t="shared" si="85"/>
        <v>0.2</v>
      </c>
      <c r="T351" s="42"/>
      <c r="U351" s="16">
        <f t="shared" si="86"/>
        <v>29.950413223140494</v>
      </c>
      <c r="V351" s="41">
        <f t="shared" si="87"/>
        <v>0.16666666666666663</v>
      </c>
      <c r="W351" s="17">
        <f t="shared" si="88"/>
        <v>0.3008333333333334</v>
      </c>
      <c r="X351" s="41">
        <f t="shared" si="89"/>
        <v>0.2</v>
      </c>
      <c r="Y351" s="43">
        <f t="shared" si="90"/>
        <v>4.9917355371900829</v>
      </c>
      <c r="Z351" s="43">
        <f t="shared" si="91"/>
        <v>24.958677685950413</v>
      </c>
      <c r="AA351" s="44" t="str">
        <f t="shared" si="92"/>
        <v>OK</v>
      </c>
    </row>
    <row r="352" spans="1:27" ht="15" customHeight="1" x14ac:dyDescent="0.25">
      <c r="A352" s="12" t="s">
        <v>604</v>
      </c>
      <c r="B352" s="40">
        <v>16.96</v>
      </c>
      <c r="C352" s="12" t="s">
        <v>605</v>
      </c>
      <c r="D352" s="40">
        <v>39.9</v>
      </c>
      <c r="E352" s="13">
        <f t="shared" si="93"/>
        <v>5.5860000000000003</v>
      </c>
      <c r="F352" s="14"/>
      <c r="G352" s="15">
        <v>0.14000000000000001</v>
      </c>
      <c r="H352" s="40">
        <v>8.15</v>
      </c>
      <c r="I352" s="40">
        <v>0</v>
      </c>
      <c r="J352" s="13">
        <f t="shared" si="79"/>
        <v>26.164000000000001</v>
      </c>
      <c r="K352" s="13"/>
      <c r="L352" s="15">
        <f t="shared" si="80"/>
        <v>0.08</v>
      </c>
      <c r="M352" s="13">
        <f t="shared" si="81"/>
        <v>3.1920000000000002</v>
      </c>
      <c r="N352" s="13">
        <f t="shared" si="82"/>
        <v>6.0120000000000005</v>
      </c>
      <c r="O352" s="15">
        <f t="shared" si="83"/>
        <v>0.15067669172932333</v>
      </c>
      <c r="P352" s="16">
        <f t="shared" si="84"/>
        <v>43.293103448275858</v>
      </c>
      <c r="Q352" s="41">
        <f t="shared" si="85"/>
        <v>0.19999999999999987</v>
      </c>
      <c r="T352" s="42"/>
      <c r="U352" s="16">
        <f t="shared" si="86"/>
        <v>51.951724137931031</v>
      </c>
      <c r="V352" s="41">
        <f t="shared" si="87"/>
        <v>0.16666666666666674</v>
      </c>
      <c r="W352" s="17">
        <f t="shared" si="88"/>
        <v>0.29666666666666663</v>
      </c>
      <c r="X352" s="41">
        <f t="shared" si="89"/>
        <v>0.19999999999999987</v>
      </c>
      <c r="Y352" s="43">
        <f t="shared" si="90"/>
        <v>8.6586206896551658</v>
      </c>
      <c r="Z352" s="43">
        <f t="shared" si="91"/>
        <v>43.293103448275858</v>
      </c>
      <c r="AA352" s="44" t="str">
        <f t="shared" si="92"/>
        <v>OK</v>
      </c>
    </row>
    <row r="353" spans="1:27" ht="15" customHeight="1" x14ac:dyDescent="0.25">
      <c r="A353" s="12" t="s">
        <v>606</v>
      </c>
      <c r="B353" s="40">
        <v>16.96</v>
      </c>
      <c r="C353" s="12" t="s">
        <v>607</v>
      </c>
      <c r="D353" s="40">
        <v>39.9</v>
      </c>
      <c r="E353" s="13">
        <f t="shared" si="93"/>
        <v>5.5860000000000003</v>
      </c>
      <c r="F353" s="14"/>
      <c r="G353" s="15">
        <v>0.14000000000000001</v>
      </c>
      <c r="H353" s="40">
        <v>8.15</v>
      </c>
      <c r="I353" s="40">
        <v>0</v>
      </c>
      <c r="J353" s="13">
        <f t="shared" si="79"/>
        <v>26.164000000000001</v>
      </c>
      <c r="K353" s="13"/>
      <c r="L353" s="15">
        <f t="shared" si="80"/>
        <v>0.08</v>
      </c>
      <c r="M353" s="13">
        <f t="shared" si="81"/>
        <v>3.1920000000000002</v>
      </c>
      <c r="N353" s="13">
        <f t="shared" si="82"/>
        <v>6.0120000000000005</v>
      </c>
      <c r="O353" s="15">
        <f t="shared" si="83"/>
        <v>0.15067669172932333</v>
      </c>
      <c r="P353" s="16">
        <f t="shared" si="84"/>
        <v>43.293103448275858</v>
      </c>
      <c r="Q353" s="41">
        <f t="shared" si="85"/>
        <v>0.19999999999999987</v>
      </c>
      <c r="T353" s="42"/>
      <c r="U353" s="16">
        <f t="shared" si="86"/>
        <v>51.951724137931031</v>
      </c>
      <c r="V353" s="41">
        <f t="shared" si="87"/>
        <v>0.16666666666666674</v>
      </c>
      <c r="W353" s="17">
        <f t="shared" si="88"/>
        <v>0.29666666666666663</v>
      </c>
      <c r="X353" s="41">
        <f t="shared" si="89"/>
        <v>0.19999999999999987</v>
      </c>
      <c r="Y353" s="43">
        <f t="shared" si="90"/>
        <v>8.6586206896551658</v>
      </c>
      <c r="Z353" s="43">
        <f t="shared" si="91"/>
        <v>43.293103448275858</v>
      </c>
      <c r="AA353" s="44" t="str">
        <f t="shared" si="92"/>
        <v>OK</v>
      </c>
    </row>
    <row r="354" spans="1:27" ht="15" customHeight="1" x14ac:dyDescent="0.25">
      <c r="A354" s="12" t="s">
        <v>608</v>
      </c>
      <c r="B354" s="40">
        <v>16.96</v>
      </c>
      <c r="C354" s="12" t="s">
        <v>609</v>
      </c>
      <c r="D354" s="40">
        <v>39.9</v>
      </c>
      <c r="E354" s="13">
        <f t="shared" si="93"/>
        <v>5.5860000000000003</v>
      </c>
      <c r="F354" s="14"/>
      <c r="G354" s="15">
        <v>0.14000000000000001</v>
      </c>
      <c r="H354" s="40">
        <v>8.15</v>
      </c>
      <c r="I354" s="40">
        <v>0</v>
      </c>
      <c r="J354" s="13">
        <f t="shared" si="79"/>
        <v>26.164000000000001</v>
      </c>
      <c r="K354" s="13"/>
      <c r="L354" s="15">
        <f t="shared" si="80"/>
        <v>0.08</v>
      </c>
      <c r="M354" s="13">
        <f t="shared" si="81"/>
        <v>3.1920000000000002</v>
      </c>
      <c r="N354" s="13">
        <f t="shared" si="82"/>
        <v>6.0120000000000005</v>
      </c>
      <c r="O354" s="15">
        <f t="shared" si="83"/>
        <v>0.15067669172932333</v>
      </c>
      <c r="P354" s="16">
        <f t="shared" si="84"/>
        <v>43.293103448275858</v>
      </c>
      <c r="Q354" s="41">
        <f t="shared" si="85"/>
        <v>0.19999999999999987</v>
      </c>
      <c r="T354" s="42"/>
      <c r="U354" s="16">
        <f t="shared" si="86"/>
        <v>51.951724137931031</v>
      </c>
      <c r="V354" s="41">
        <f t="shared" si="87"/>
        <v>0.16666666666666674</v>
      </c>
      <c r="W354" s="17">
        <f t="shared" si="88"/>
        <v>0.29666666666666663</v>
      </c>
      <c r="X354" s="41">
        <f t="shared" si="89"/>
        <v>0.19999999999999987</v>
      </c>
      <c r="Y354" s="43">
        <f t="shared" si="90"/>
        <v>8.6586206896551658</v>
      </c>
      <c r="Z354" s="43">
        <f t="shared" si="91"/>
        <v>43.293103448275858</v>
      </c>
      <c r="AA354" s="44" t="str">
        <f t="shared" si="92"/>
        <v>OK</v>
      </c>
    </row>
    <row r="355" spans="1:27" ht="15" customHeight="1" x14ac:dyDescent="0.25">
      <c r="A355" s="12" t="s">
        <v>610</v>
      </c>
      <c r="B355" s="40">
        <v>16.96</v>
      </c>
      <c r="C355" s="12" t="s">
        <v>611</v>
      </c>
      <c r="D355" s="40">
        <v>39.9</v>
      </c>
      <c r="E355" s="13">
        <f t="shared" si="93"/>
        <v>5.5860000000000003</v>
      </c>
      <c r="F355" s="14"/>
      <c r="G355" s="15">
        <v>0.14000000000000001</v>
      </c>
      <c r="H355" s="40">
        <v>8.15</v>
      </c>
      <c r="I355" s="40">
        <v>0</v>
      </c>
      <c r="J355" s="13">
        <f t="shared" si="79"/>
        <v>26.164000000000001</v>
      </c>
      <c r="K355" s="13"/>
      <c r="L355" s="15">
        <f t="shared" si="80"/>
        <v>0.08</v>
      </c>
      <c r="M355" s="13">
        <f t="shared" si="81"/>
        <v>3.1920000000000002</v>
      </c>
      <c r="N355" s="13">
        <f t="shared" si="82"/>
        <v>6.0120000000000005</v>
      </c>
      <c r="O355" s="15">
        <f t="shared" si="83"/>
        <v>0.15067669172932333</v>
      </c>
      <c r="P355" s="16">
        <f t="shared" si="84"/>
        <v>43.293103448275858</v>
      </c>
      <c r="Q355" s="41">
        <f t="shared" si="85"/>
        <v>0.19999999999999987</v>
      </c>
      <c r="T355" s="42"/>
      <c r="U355" s="16">
        <f t="shared" si="86"/>
        <v>51.951724137931031</v>
      </c>
      <c r="V355" s="41">
        <f t="shared" si="87"/>
        <v>0.16666666666666674</v>
      </c>
      <c r="W355" s="17">
        <f t="shared" si="88"/>
        <v>0.29666666666666663</v>
      </c>
      <c r="X355" s="41">
        <f t="shared" si="89"/>
        <v>0.19999999999999987</v>
      </c>
      <c r="Y355" s="43">
        <f t="shared" si="90"/>
        <v>8.6586206896551658</v>
      </c>
      <c r="Z355" s="43">
        <f t="shared" si="91"/>
        <v>43.293103448275858</v>
      </c>
      <c r="AA355" s="44" t="str">
        <f t="shared" si="92"/>
        <v>OK</v>
      </c>
    </row>
    <row r="356" spans="1:27" ht="15" customHeight="1" x14ac:dyDescent="0.25">
      <c r="A356" s="12" t="s">
        <v>612</v>
      </c>
      <c r="B356" s="40">
        <v>24.88</v>
      </c>
      <c r="C356" s="12" t="s">
        <v>613</v>
      </c>
      <c r="D356" s="40">
        <v>52.9</v>
      </c>
      <c r="E356" s="13">
        <f t="shared" si="93"/>
        <v>6.0834999999999999</v>
      </c>
      <c r="F356" s="14"/>
      <c r="G356" s="15">
        <v>0.115</v>
      </c>
      <c r="H356" s="40">
        <v>8.5500000000000007</v>
      </c>
      <c r="I356" s="40">
        <v>0</v>
      </c>
      <c r="J356" s="13">
        <f t="shared" si="79"/>
        <v>38.266499999999994</v>
      </c>
      <c r="K356" s="13"/>
      <c r="L356" s="15">
        <f t="shared" si="80"/>
        <v>0.08</v>
      </c>
      <c r="M356" s="13">
        <f t="shared" si="81"/>
        <v>4.2320000000000002</v>
      </c>
      <c r="N356" s="13">
        <f t="shared" si="82"/>
        <v>9.1544999999999952</v>
      </c>
      <c r="O356" s="15">
        <f t="shared" si="83"/>
        <v>0.17305293005671069</v>
      </c>
      <c r="P356" s="16">
        <f t="shared" si="84"/>
        <v>55.256198347107443</v>
      </c>
      <c r="Q356" s="41">
        <f t="shared" si="85"/>
        <v>0.19999999999999998</v>
      </c>
      <c r="T356" s="42"/>
      <c r="U356" s="16">
        <f t="shared" si="86"/>
        <v>66.307438016528934</v>
      </c>
      <c r="V356" s="41">
        <f t="shared" si="87"/>
        <v>0.16666666666666674</v>
      </c>
      <c r="W356" s="17">
        <f t="shared" si="88"/>
        <v>0.30083333333333351</v>
      </c>
      <c r="X356" s="41">
        <f t="shared" si="89"/>
        <v>0.19999999999999998</v>
      </c>
      <c r="Y356" s="43">
        <f t="shared" si="90"/>
        <v>11.051239669421488</v>
      </c>
      <c r="Z356" s="43">
        <f t="shared" si="91"/>
        <v>55.256198347107443</v>
      </c>
      <c r="AA356" s="44" t="str">
        <f t="shared" si="92"/>
        <v>OK</v>
      </c>
    </row>
    <row r="357" spans="1:27" ht="15" customHeight="1" x14ac:dyDescent="0.25">
      <c r="A357" s="12" t="s">
        <v>614</v>
      </c>
      <c r="B357" s="40">
        <v>44.64</v>
      </c>
      <c r="C357" s="12" t="s">
        <v>615</v>
      </c>
      <c r="D357" s="40">
        <v>77.900000000000006</v>
      </c>
      <c r="E357" s="13">
        <f t="shared" si="93"/>
        <v>8.9585000000000008</v>
      </c>
      <c r="F357" s="14"/>
      <c r="G357" s="15">
        <v>0.115</v>
      </c>
      <c r="H357" s="40">
        <v>8.5500000000000007</v>
      </c>
      <c r="I357" s="40">
        <v>0</v>
      </c>
      <c r="J357" s="13">
        <f t="shared" si="79"/>
        <v>60.391500000000008</v>
      </c>
      <c r="K357" s="13"/>
      <c r="L357" s="15">
        <f t="shared" si="80"/>
        <v>0.08</v>
      </c>
      <c r="M357" s="13">
        <f t="shared" si="81"/>
        <v>6.2320000000000002</v>
      </c>
      <c r="N357" s="13">
        <f t="shared" si="82"/>
        <v>9.5195000000000078</v>
      </c>
      <c r="O357" s="15">
        <f t="shared" si="83"/>
        <v>0.12220154043645709</v>
      </c>
      <c r="P357" s="16">
        <f t="shared" si="84"/>
        <v>79</v>
      </c>
      <c r="Q357" s="41">
        <f t="shared" si="85"/>
        <v>0.23993670886075938</v>
      </c>
      <c r="T357" s="42"/>
      <c r="U357" s="16">
        <f t="shared" si="86"/>
        <v>94.8</v>
      </c>
      <c r="V357" s="41">
        <f t="shared" si="87"/>
        <v>0.16666666666666663</v>
      </c>
      <c r="W357" s="17">
        <f t="shared" si="88"/>
        <v>0.33411392405063284</v>
      </c>
      <c r="X357" s="41">
        <f t="shared" si="89"/>
        <v>0.23993670886075938</v>
      </c>
      <c r="Y357" s="43">
        <f t="shared" si="90"/>
        <v>18.954999999999991</v>
      </c>
      <c r="Z357" s="43">
        <f t="shared" si="91"/>
        <v>79</v>
      </c>
      <c r="AA357" s="44" t="str">
        <f t="shared" si="92"/>
        <v>⚠ Subiu p/ frete (I=0)</v>
      </c>
    </row>
    <row r="358" spans="1:27" ht="15" customHeight="1" x14ac:dyDescent="0.25">
      <c r="A358" s="12" t="s">
        <v>616</v>
      </c>
      <c r="B358" s="40">
        <v>22.62</v>
      </c>
      <c r="C358" s="12" t="s">
        <v>617</v>
      </c>
      <c r="D358" s="40">
        <v>45.29</v>
      </c>
      <c r="E358" s="13">
        <f t="shared" si="93"/>
        <v>5.2083500000000003</v>
      </c>
      <c r="F358" s="14"/>
      <c r="G358" s="15">
        <v>0.115</v>
      </c>
      <c r="H358" s="40">
        <v>8.15</v>
      </c>
      <c r="I358" s="40">
        <v>0</v>
      </c>
      <c r="J358" s="13">
        <f t="shared" si="79"/>
        <v>31.931649999999998</v>
      </c>
      <c r="K358" s="13"/>
      <c r="L358" s="15">
        <f t="shared" si="80"/>
        <v>0.08</v>
      </c>
      <c r="M358" s="13">
        <f t="shared" si="81"/>
        <v>3.6232000000000002</v>
      </c>
      <c r="N358" s="13">
        <f t="shared" si="82"/>
        <v>5.688449999999996</v>
      </c>
      <c r="O358" s="15">
        <f t="shared" si="83"/>
        <v>0.12560057407816286</v>
      </c>
      <c r="P358" s="16">
        <f t="shared" si="84"/>
        <v>50.859504132231415</v>
      </c>
      <c r="Q358" s="41">
        <f t="shared" si="85"/>
        <v>0.20000000000000007</v>
      </c>
      <c r="T358" s="42"/>
      <c r="U358" s="16">
        <f t="shared" si="86"/>
        <v>61.031404958677697</v>
      </c>
      <c r="V358" s="41">
        <f t="shared" si="87"/>
        <v>0.16666666666666663</v>
      </c>
      <c r="W358" s="17">
        <f t="shared" si="88"/>
        <v>0.30083333333333345</v>
      </c>
      <c r="X358" s="41">
        <f t="shared" si="89"/>
        <v>0.20000000000000007</v>
      </c>
      <c r="Y358" s="43">
        <f t="shared" si="90"/>
        <v>10.171900826446286</v>
      </c>
      <c r="Z358" s="43">
        <f t="shared" si="91"/>
        <v>50.859504132231415</v>
      </c>
      <c r="AA358" s="44" t="str">
        <f t="shared" si="92"/>
        <v>OK</v>
      </c>
    </row>
    <row r="359" spans="1:27" ht="15" customHeight="1" x14ac:dyDescent="0.25">
      <c r="A359" s="12" t="s">
        <v>618</v>
      </c>
      <c r="B359" s="40">
        <v>5.5</v>
      </c>
      <c r="C359" s="12" t="s">
        <v>619</v>
      </c>
      <c r="D359" s="40">
        <v>17.899999999999999</v>
      </c>
      <c r="E359" s="13">
        <f t="shared" si="93"/>
        <v>2.0585</v>
      </c>
      <c r="F359" s="14"/>
      <c r="G359" s="15">
        <v>0.115</v>
      </c>
      <c r="H359" s="40">
        <v>8.5500000000000007</v>
      </c>
      <c r="I359" s="40">
        <v>0</v>
      </c>
      <c r="J359" s="13">
        <f t="shared" si="79"/>
        <v>7.2914999999999974</v>
      </c>
      <c r="K359" s="13"/>
      <c r="L359" s="15">
        <f t="shared" si="80"/>
        <v>0.08</v>
      </c>
      <c r="M359" s="13">
        <f t="shared" si="81"/>
        <v>1.4319999999999999</v>
      </c>
      <c r="N359" s="13">
        <f t="shared" si="82"/>
        <v>0.35949999999999749</v>
      </c>
      <c r="O359" s="15">
        <f t="shared" si="83"/>
        <v>2.0083798882681424E-2</v>
      </c>
      <c r="P359" s="16">
        <f t="shared" si="84"/>
        <v>23.223140495867771</v>
      </c>
      <c r="Q359" s="41">
        <f t="shared" si="85"/>
        <v>0.20000000000000007</v>
      </c>
      <c r="T359" s="42"/>
      <c r="U359" s="16">
        <f t="shared" si="86"/>
        <v>27.867768595041323</v>
      </c>
      <c r="V359" s="41">
        <f t="shared" si="87"/>
        <v>0.16666666666666663</v>
      </c>
      <c r="W359" s="17">
        <f t="shared" si="88"/>
        <v>0.30083333333333329</v>
      </c>
      <c r="X359" s="41">
        <f t="shared" si="89"/>
        <v>0.20000000000000007</v>
      </c>
      <c r="Y359" s="43">
        <f t="shared" si="90"/>
        <v>4.6446280991735556</v>
      </c>
      <c r="Z359" s="43">
        <f t="shared" si="91"/>
        <v>23.223140495867771</v>
      </c>
      <c r="AA359" s="44" t="str">
        <f t="shared" si="92"/>
        <v>OK</v>
      </c>
    </row>
    <row r="360" spans="1:27" ht="15" customHeight="1" x14ac:dyDescent="0.25">
      <c r="A360" s="12" t="s">
        <v>620</v>
      </c>
      <c r="B360" s="40">
        <v>3.09</v>
      </c>
      <c r="C360" s="12" t="s">
        <v>621</v>
      </c>
      <c r="D360" s="40">
        <v>15.29</v>
      </c>
      <c r="E360" s="13">
        <f t="shared" si="93"/>
        <v>2.1406000000000001</v>
      </c>
      <c r="F360" s="14"/>
      <c r="G360" s="15">
        <v>0.14000000000000001</v>
      </c>
      <c r="H360" s="40">
        <v>8.5500000000000007</v>
      </c>
      <c r="I360" s="40">
        <v>0</v>
      </c>
      <c r="J360" s="13">
        <f t="shared" si="79"/>
        <v>4.5993999999999993</v>
      </c>
      <c r="K360" s="13"/>
      <c r="L360" s="15">
        <f t="shared" si="80"/>
        <v>0.08</v>
      </c>
      <c r="M360" s="13">
        <f t="shared" si="81"/>
        <v>1.2232000000000001</v>
      </c>
      <c r="N360" s="13">
        <f t="shared" si="82"/>
        <v>0.28619999999999934</v>
      </c>
      <c r="O360" s="15">
        <f t="shared" si="83"/>
        <v>1.8718116415958101E-2</v>
      </c>
      <c r="P360" s="16">
        <f t="shared" si="84"/>
        <v>20.068965517241377</v>
      </c>
      <c r="Q360" s="41">
        <f t="shared" si="85"/>
        <v>0.19999999999999982</v>
      </c>
      <c r="T360" s="42"/>
      <c r="U360" s="16">
        <f t="shared" si="86"/>
        <v>24.082758620689653</v>
      </c>
      <c r="V360" s="41">
        <f t="shared" si="87"/>
        <v>0.16666666666666663</v>
      </c>
      <c r="W360" s="17">
        <f t="shared" si="88"/>
        <v>0.29666666666666658</v>
      </c>
      <c r="X360" s="41">
        <f t="shared" si="89"/>
        <v>0.19999999999999982</v>
      </c>
      <c r="Y360" s="43">
        <f t="shared" si="90"/>
        <v>4.0137931034482719</v>
      </c>
      <c r="Z360" s="43">
        <f t="shared" si="91"/>
        <v>20.068965517241377</v>
      </c>
      <c r="AA360" s="44" t="str">
        <f t="shared" si="92"/>
        <v>OK</v>
      </c>
    </row>
    <row r="361" spans="1:27" ht="15" customHeight="1" x14ac:dyDescent="0.25">
      <c r="A361" s="12" t="s">
        <v>622</v>
      </c>
      <c r="B361" s="40">
        <v>13.3</v>
      </c>
      <c r="C361" s="12" t="s">
        <v>623</v>
      </c>
      <c r="D361" s="40">
        <v>29.9</v>
      </c>
      <c r="E361" s="13">
        <f t="shared" si="93"/>
        <v>3.4384999999999999</v>
      </c>
      <c r="F361" s="14"/>
      <c r="G361" s="15">
        <v>0.115</v>
      </c>
      <c r="H361" s="40">
        <v>6.85</v>
      </c>
      <c r="I361" s="40">
        <v>0</v>
      </c>
      <c r="J361" s="13">
        <f t="shared" si="79"/>
        <v>19.611499999999999</v>
      </c>
      <c r="K361" s="13"/>
      <c r="L361" s="15">
        <f t="shared" si="80"/>
        <v>0.08</v>
      </c>
      <c r="M361" s="13">
        <f t="shared" si="81"/>
        <v>2.3919999999999999</v>
      </c>
      <c r="N361" s="13">
        <f t="shared" si="82"/>
        <v>3.9194999999999989</v>
      </c>
      <c r="O361" s="15">
        <f t="shared" si="83"/>
        <v>0.1310869565217391</v>
      </c>
      <c r="P361" s="16">
        <f t="shared" si="84"/>
        <v>33.305785123966942</v>
      </c>
      <c r="Q361" s="41">
        <f t="shared" si="85"/>
        <v>0.19999999999999982</v>
      </c>
      <c r="T361" s="42"/>
      <c r="U361" s="16">
        <f t="shared" si="86"/>
        <v>39.966942148760332</v>
      </c>
      <c r="V361" s="41">
        <f t="shared" si="87"/>
        <v>0.16666666666666674</v>
      </c>
      <c r="W361" s="17">
        <f t="shared" si="88"/>
        <v>0.30083333333333329</v>
      </c>
      <c r="X361" s="41">
        <f t="shared" si="89"/>
        <v>0.19999999999999982</v>
      </c>
      <c r="Y361" s="43">
        <f t="shared" si="90"/>
        <v>6.6611570247933827</v>
      </c>
      <c r="Z361" s="43">
        <f t="shared" si="91"/>
        <v>33.305785123966942</v>
      </c>
      <c r="AA361" s="44" t="str">
        <f t="shared" si="92"/>
        <v>OK</v>
      </c>
    </row>
    <row r="362" spans="1:27" ht="15" customHeight="1" x14ac:dyDescent="0.25">
      <c r="A362" s="12" t="s">
        <v>624</v>
      </c>
      <c r="B362" s="40">
        <v>9.1199999999999992</v>
      </c>
      <c r="C362" s="12" t="s">
        <v>625</v>
      </c>
      <c r="D362" s="40">
        <v>24.9</v>
      </c>
      <c r="E362" s="13">
        <f t="shared" si="93"/>
        <v>2.8635000000000002</v>
      </c>
      <c r="F362" s="14"/>
      <c r="G362" s="15">
        <v>0.115</v>
      </c>
      <c r="H362" s="40">
        <v>6.65</v>
      </c>
      <c r="I362" s="40">
        <v>0</v>
      </c>
      <c r="J362" s="13">
        <f t="shared" si="79"/>
        <v>15.386499999999996</v>
      </c>
      <c r="K362" s="13"/>
      <c r="L362" s="15">
        <f t="shared" si="80"/>
        <v>0.08</v>
      </c>
      <c r="M362" s="13">
        <f t="shared" si="81"/>
        <v>1.992</v>
      </c>
      <c r="N362" s="13">
        <f t="shared" si="82"/>
        <v>4.2744999999999971</v>
      </c>
      <c r="O362" s="15">
        <f t="shared" si="83"/>
        <v>0.17166666666666655</v>
      </c>
      <c r="P362" s="16">
        <f t="shared" si="84"/>
        <v>26.06611570247934</v>
      </c>
      <c r="Q362" s="41">
        <f t="shared" si="85"/>
        <v>0.20000000000000015</v>
      </c>
      <c r="T362" s="42"/>
      <c r="U362" s="16">
        <f t="shared" si="86"/>
        <v>31.279338842975207</v>
      </c>
      <c r="V362" s="41">
        <f t="shared" si="87"/>
        <v>0.16666666666666663</v>
      </c>
      <c r="W362" s="17">
        <f t="shared" si="88"/>
        <v>0.3008333333333334</v>
      </c>
      <c r="X362" s="41">
        <f t="shared" si="89"/>
        <v>0.20000000000000015</v>
      </c>
      <c r="Y362" s="43">
        <f t="shared" si="90"/>
        <v>5.213223140495872</v>
      </c>
      <c r="Z362" s="43">
        <f t="shared" si="91"/>
        <v>26.06611570247934</v>
      </c>
      <c r="AA362" s="44" t="str">
        <f t="shared" si="92"/>
        <v>OK</v>
      </c>
    </row>
    <row r="363" spans="1:27" ht="15" customHeight="1" x14ac:dyDescent="0.25">
      <c r="A363" s="12" t="s">
        <v>626</v>
      </c>
      <c r="B363" s="40">
        <v>14.52</v>
      </c>
      <c r="C363" s="12" t="s">
        <v>627</v>
      </c>
      <c r="D363" s="40">
        <v>30.9</v>
      </c>
      <c r="E363" s="13">
        <f t="shared" si="93"/>
        <v>3.5535000000000001</v>
      </c>
      <c r="F363" s="14"/>
      <c r="G363" s="15">
        <v>0.115</v>
      </c>
      <c r="H363" s="40">
        <v>6.85</v>
      </c>
      <c r="I363" s="40">
        <v>0</v>
      </c>
      <c r="J363" s="13">
        <f t="shared" si="79"/>
        <v>20.496499999999997</v>
      </c>
      <c r="K363" s="13"/>
      <c r="L363" s="15">
        <f t="shared" si="80"/>
        <v>0.08</v>
      </c>
      <c r="M363" s="13">
        <f t="shared" si="81"/>
        <v>2.472</v>
      </c>
      <c r="N363" s="13">
        <f t="shared" si="82"/>
        <v>3.504499999999998</v>
      </c>
      <c r="O363" s="15">
        <f t="shared" si="83"/>
        <v>0.11341423948220059</v>
      </c>
      <c r="P363" s="16">
        <f t="shared" si="84"/>
        <v>35.322314049586772</v>
      </c>
      <c r="Q363" s="41">
        <f t="shared" si="85"/>
        <v>0.19999999999999993</v>
      </c>
      <c r="T363" s="42"/>
      <c r="U363" s="16">
        <f t="shared" si="86"/>
        <v>42.386776859504124</v>
      </c>
      <c r="V363" s="41">
        <f t="shared" si="87"/>
        <v>0.16666666666666663</v>
      </c>
      <c r="W363" s="17">
        <f t="shared" si="88"/>
        <v>0.30083333333333317</v>
      </c>
      <c r="X363" s="41">
        <f t="shared" si="89"/>
        <v>0.19999999999999993</v>
      </c>
      <c r="Y363" s="43">
        <f t="shared" si="90"/>
        <v>7.0644628099173516</v>
      </c>
      <c r="Z363" s="43">
        <f t="shared" si="91"/>
        <v>35.322314049586772</v>
      </c>
      <c r="AA363" s="44" t="str">
        <f t="shared" si="92"/>
        <v>OK</v>
      </c>
    </row>
    <row r="364" spans="1:27" ht="15" customHeight="1" x14ac:dyDescent="0.25">
      <c r="A364" s="12" t="s">
        <v>628</v>
      </c>
      <c r="B364" s="40">
        <v>14.52</v>
      </c>
      <c r="C364" s="12" t="s">
        <v>629</v>
      </c>
      <c r="D364" s="40">
        <v>30.9</v>
      </c>
      <c r="E364" s="13">
        <f t="shared" si="93"/>
        <v>3.5535000000000001</v>
      </c>
      <c r="F364" s="14"/>
      <c r="G364" s="15">
        <v>0.115</v>
      </c>
      <c r="H364" s="40">
        <v>6.85</v>
      </c>
      <c r="I364" s="40">
        <v>0</v>
      </c>
      <c r="J364" s="13">
        <f t="shared" si="79"/>
        <v>20.496499999999997</v>
      </c>
      <c r="K364" s="13"/>
      <c r="L364" s="15">
        <f t="shared" si="80"/>
        <v>0.08</v>
      </c>
      <c r="M364" s="13">
        <f t="shared" si="81"/>
        <v>2.472</v>
      </c>
      <c r="N364" s="13">
        <f t="shared" si="82"/>
        <v>3.504499999999998</v>
      </c>
      <c r="O364" s="15">
        <f t="shared" si="83"/>
        <v>0.11341423948220059</v>
      </c>
      <c r="P364" s="16">
        <f t="shared" si="84"/>
        <v>35.322314049586772</v>
      </c>
      <c r="Q364" s="41">
        <f t="shared" si="85"/>
        <v>0.19999999999999993</v>
      </c>
      <c r="T364" s="42"/>
      <c r="U364" s="16">
        <f t="shared" si="86"/>
        <v>42.386776859504124</v>
      </c>
      <c r="V364" s="41">
        <f t="shared" si="87"/>
        <v>0.16666666666666663</v>
      </c>
      <c r="W364" s="17">
        <f t="shared" si="88"/>
        <v>0.30083333333333317</v>
      </c>
      <c r="X364" s="41">
        <f t="shared" si="89"/>
        <v>0.19999999999999993</v>
      </c>
      <c r="Y364" s="43">
        <f t="shared" si="90"/>
        <v>7.0644628099173516</v>
      </c>
      <c r="Z364" s="43">
        <f t="shared" si="91"/>
        <v>35.322314049586772</v>
      </c>
      <c r="AA364" s="44" t="str">
        <f t="shared" si="92"/>
        <v>OK</v>
      </c>
    </row>
    <row r="365" spans="1:27" ht="15" customHeight="1" x14ac:dyDescent="0.25">
      <c r="A365" s="12" t="s">
        <v>630</v>
      </c>
      <c r="B365" s="40">
        <v>11.97</v>
      </c>
      <c r="C365" s="12" t="s">
        <v>631</v>
      </c>
      <c r="D365" s="40">
        <v>27.09</v>
      </c>
      <c r="E365" s="13">
        <f t="shared" si="93"/>
        <v>3.1153500000000003</v>
      </c>
      <c r="F365" s="14"/>
      <c r="G365" s="15">
        <v>0.115</v>
      </c>
      <c r="H365" s="40">
        <v>6.75</v>
      </c>
      <c r="I365" s="40">
        <v>0</v>
      </c>
      <c r="J365" s="13">
        <f t="shared" si="79"/>
        <v>17.22465</v>
      </c>
      <c r="K365" s="13"/>
      <c r="L365" s="15">
        <f t="shared" si="80"/>
        <v>0.08</v>
      </c>
      <c r="M365" s="13">
        <f t="shared" si="81"/>
        <v>2.1672000000000002</v>
      </c>
      <c r="N365" s="13">
        <f t="shared" si="82"/>
        <v>3.0874499999999996</v>
      </c>
      <c r="O365" s="15">
        <f t="shared" si="83"/>
        <v>0.11397009966777408</v>
      </c>
      <c r="P365" s="16">
        <f t="shared" si="84"/>
        <v>30.942148760330578</v>
      </c>
      <c r="Q365" s="41">
        <f t="shared" si="85"/>
        <v>0.19999999999999998</v>
      </c>
      <c r="T365" s="42"/>
      <c r="U365" s="16">
        <f t="shared" si="86"/>
        <v>37.130578512396696</v>
      </c>
      <c r="V365" s="41">
        <f t="shared" si="87"/>
        <v>0.16666666666666674</v>
      </c>
      <c r="W365" s="17">
        <f t="shared" si="88"/>
        <v>0.30083333333333317</v>
      </c>
      <c r="X365" s="41">
        <f t="shared" si="89"/>
        <v>0.19999999999999998</v>
      </c>
      <c r="Y365" s="43">
        <f t="shared" si="90"/>
        <v>6.1884297520661153</v>
      </c>
      <c r="Z365" s="43">
        <f t="shared" si="91"/>
        <v>30.942148760330578</v>
      </c>
      <c r="AA365" s="44" t="str">
        <f t="shared" si="92"/>
        <v>OK</v>
      </c>
    </row>
    <row r="366" spans="1:27" ht="15" customHeight="1" x14ac:dyDescent="0.25">
      <c r="A366" s="12" t="s">
        <v>632</v>
      </c>
      <c r="B366" s="40">
        <v>16.96</v>
      </c>
      <c r="C366" s="12" t="s">
        <v>633</v>
      </c>
      <c r="D366" s="40">
        <v>39.9</v>
      </c>
      <c r="E366" s="13">
        <f t="shared" si="93"/>
        <v>5.5860000000000003</v>
      </c>
      <c r="F366" s="14"/>
      <c r="G366" s="15">
        <v>0.14000000000000001</v>
      </c>
      <c r="H366" s="40">
        <v>8.15</v>
      </c>
      <c r="I366" s="40">
        <v>0</v>
      </c>
      <c r="J366" s="13">
        <f t="shared" si="79"/>
        <v>26.164000000000001</v>
      </c>
      <c r="K366" s="13"/>
      <c r="L366" s="15">
        <f t="shared" si="80"/>
        <v>0.08</v>
      </c>
      <c r="M366" s="13">
        <f t="shared" si="81"/>
        <v>3.1920000000000002</v>
      </c>
      <c r="N366" s="13">
        <f t="shared" si="82"/>
        <v>6.0120000000000005</v>
      </c>
      <c r="O366" s="15">
        <f t="shared" si="83"/>
        <v>0.15067669172932333</v>
      </c>
      <c r="P366" s="16">
        <f t="shared" si="84"/>
        <v>43.293103448275858</v>
      </c>
      <c r="Q366" s="41">
        <f t="shared" si="85"/>
        <v>0.19999999999999987</v>
      </c>
      <c r="T366" s="42"/>
      <c r="U366" s="16">
        <f t="shared" si="86"/>
        <v>51.951724137931031</v>
      </c>
      <c r="V366" s="41">
        <f t="shared" si="87"/>
        <v>0.16666666666666674</v>
      </c>
      <c r="W366" s="17">
        <f t="shared" si="88"/>
        <v>0.29666666666666663</v>
      </c>
      <c r="X366" s="41">
        <f t="shared" si="89"/>
        <v>0.19999999999999987</v>
      </c>
      <c r="Y366" s="43">
        <f t="shared" si="90"/>
        <v>8.6586206896551658</v>
      </c>
      <c r="Z366" s="43">
        <f t="shared" si="91"/>
        <v>43.293103448275858</v>
      </c>
      <c r="AA366" s="44" t="str">
        <f t="shared" si="92"/>
        <v>OK</v>
      </c>
    </row>
    <row r="367" spans="1:27" ht="15" customHeight="1" x14ac:dyDescent="0.25">
      <c r="A367" s="12" t="s">
        <v>634</v>
      </c>
      <c r="B367" s="40">
        <v>16.96</v>
      </c>
      <c r="C367" s="12" t="s">
        <v>635</v>
      </c>
      <c r="D367" s="40">
        <v>39.9</v>
      </c>
      <c r="E367" s="13">
        <f t="shared" si="93"/>
        <v>5.5860000000000003</v>
      </c>
      <c r="F367" s="14"/>
      <c r="G367" s="15">
        <v>0.14000000000000001</v>
      </c>
      <c r="H367" s="40">
        <v>8.15</v>
      </c>
      <c r="I367" s="40">
        <v>0</v>
      </c>
      <c r="J367" s="13">
        <f t="shared" si="79"/>
        <v>26.164000000000001</v>
      </c>
      <c r="K367" s="13"/>
      <c r="L367" s="15">
        <f t="shared" si="80"/>
        <v>0.08</v>
      </c>
      <c r="M367" s="13">
        <f t="shared" si="81"/>
        <v>3.1920000000000002</v>
      </c>
      <c r="N367" s="13">
        <f t="shared" si="82"/>
        <v>6.0120000000000005</v>
      </c>
      <c r="O367" s="15">
        <f t="shared" si="83"/>
        <v>0.15067669172932333</v>
      </c>
      <c r="P367" s="16">
        <f t="shared" si="84"/>
        <v>43.293103448275858</v>
      </c>
      <c r="Q367" s="41">
        <f t="shared" si="85"/>
        <v>0.19999999999999987</v>
      </c>
      <c r="T367" s="42"/>
      <c r="U367" s="16">
        <f t="shared" si="86"/>
        <v>51.951724137931031</v>
      </c>
      <c r="V367" s="41">
        <f t="shared" si="87"/>
        <v>0.16666666666666674</v>
      </c>
      <c r="W367" s="17">
        <f t="shared" si="88"/>
        <v>0.29666666666666663</v>
      </c>
      <c r="X367" s="41">
        <f t="shared" si="89"/>
        <v>0.19999999999999987</v>
      </c>
      <c r="Y367" s="43">
        <f t="shared" si="90"/>
        <v>8.6586206896551658</v>
      </c>
      <c r="Z367" s="43">
        <f t="shared" si="91"/>
        <v>43.293103448275858</v>
      </c>
      <c r="AA367" s="44" t="str">
        <f t="shared" si="92"/>
        <v>OK</v>
      </c>
    </row>
    <row r="368" spans="1:27" ht="15" customHeight="1" x14ac:dyDescent="0.25">
      <c r="A368" s="12" t="s">
        <v>636</v>
      </c>
      <c r="B368" s="40">
        <v>19.8</v>
      </c>
      <c r="C368" s="12" t="s">
        <v>637</v>
      </c>
      <c r="D368" s="40">
        <v>43.9</v>
      </c>
      <c r="E368" s="13">
        <f t="shared" si="93"/>
        <v>5.0484999999999998</v>
      </c>
      <c r="F368" s="14"/>
      <c r="G368" s="15">
        <v>0.115</v>
      </c>
      <c r="H368" s="40">
        <v>6.75</v>
      </c>
      <c r="I368" s="40">
        <v>0</v>
      </c>
      <c r="J368" s="13">
        <f t="shared" si="79"/>
        <v>32.101500000000001</v>
      </c>
      <c r="K368" s="13"/>
      <c r="L368" s="15">
        <f t="shared" si="80"/>
        <v>0.08</v>
      </c>
      <c r="M368" s="13">
        <f t="shared" si="81"/>
        <v>3.512</v>
      </c>
      <c r="N368" s="13">
        <f t="shared" si="82"/>
        <v>8.7895000000000003</v>
      </c>
      <c r="O368" s="15">
        <f t="shared" si="83"/>
        <v>0.20021640091116175</v>
      </c>
      <c r="P368" s="16">
        <f t="shared" si="84"/>
        <v>43.884297520661157</v>
      </c>
      <c r="Q368" s="41">
        <f t="shared" si="85"/>
        <v>0.19999999999999996</v>
      </c>
      <c r="T368" s="42"/>
      <c r="U368" s="16">
        <f t="shared" si="86"/>
        <v>52.66115702479339</v>
      </c>
      <c r="V368" s="41">
        <f t="shared" si="87"/>
        <v>0.16666666666666674</v>
      </c>
      <c r="W368" s="17">
        <f t="shared" si="88"/>
        <v>0.30083333333333334</v>
      </c>
      <c r="X368" s="41">
        <f t="shared" si="89"/>
        <v>0.19999999999999996</v>
      </c>
      <c r="Y368" s="43">
        <f t="shared" si="90"/>
        <v>8.7768595041322293</v>
      </c>
      <c r="Z368" s="43">
        <f t="shared" si="91"/>
        <v>43.884297520661157</v>
      </c>
      <c r="AA368" s="44" t="str">
        <f t="shared" si="92"/>
        <v>OK</v>
      </c>
    </row>
    <row r="369" spans="1:27" ht="15" customHeight="1" x14ac:dyDescent="0.25">
      <c r="A369" s="12" t="s">
        <v>192</v>
      </c>
      <c r="B369" s="40">
        <v>45.25</v>
      </c>
      <c r="C369" s="12" t="s">
        <v>638</v>
      </c>
      <c r="D369" s="40">
        <v>78.900000000000006</v>
      </c>
      <c r="E369" s="13">
        <f t="shared" si="93"/>
        <v>9.073500000000001</v>
      </c>
      <c r="F369" s="14"/>
      <c r="G369" s="15">
        <v>0.115</v>
      </c>
      <c r="H369" s="40">
        <v>7.75</v>
      </c>
      <c r="I369" s="40">
        <v>0</v>
      </c>
      <c r="J369" s="13">
        <f t="shared" si="79"/>
        <v>62.07650000000001</v>
      </c>
      <c r="K369" s="13"/>
      <c r="L369" s="15">
        <f t="shared" si="80"/>
        <v>0.08</v>
      </c>
      <c r="M369" s="13">
        <f t="shared" si="81"/>
        <v>6.3120000000000003</v>
      </c>
      <c r="N369" s="13">
        <f t="shared" si="82"/>
        <v>10.514500000000009</v>
      </c>
      <c r="O369" s="15">
        <f t="shared" si="83"/>
        <v>0.1332636248415717</v>
      </c>
      <c r="P369" s="16">
        <f t="shared" si="84"/>
        <v>79</v>
      </c>
      <c r="Q369" s="41">
        <f t="shared" si="85"/>
        <v>0.2322151898734176</v>
      </c>
      <c r="T369" s="42"/>
      <c r="U369" s="16">
        <f t="shared" si="86"/>
        <v>94.8</v>
      </c>
      <c r="V369" s="41">
        <f t="shared" si="87"/>
        <v>0.16666666666666663</v>
      </c>
      <c r="W369" s="17">
        <f t="shared" si="88"/>
        <v>0.32767932489451468</v>
      </c>
      <c r="X369" s="41">
        <f t="shared" si="89"/>
        <v>0.2322151898734176</v>
      </c>
      <c r="Y369" s="43">
        <f t="shared" si="90"/>
        <v>18.344999999999992</v>
      </c>
      <c r="Z369" s="43">
        <f t="shared" si="91"/>
        <v>79</v>
      </c>
      <c r="AA369" s="44" t="str">
        <f t="shared" si="92"/>
        <v>⚠ Subiu p/ frete (I=0)</v>
      </c>
    </row>
    <row r="370" spans="1:27" ht="15" customHeight="1" x14ac:dyDescent="0.25">
      <c r="A370" s="12" t="s">
        <v>639</v>
      </c>
      <c r="B370" s="40">
        <v>45.25</v>
      </c>
      <c r="C370" s="12" t="s">
        <v>640</v>
      </c>
      <c r="D370" s="40">
        <v>78.900000000000006</v>
      </c>
      <c r="E370" s="13">
        <f t="shared" si="93"/>
        <v>9.073500000000001</v>
      </c>
      <c r="F370" s="14"/>
      <c r="G370" s="15">
        <v>0.115</v>
      </c>
      <c r="H370" s="40">
        <v>7.75</v>
      </c>
      <c r="I370" s="40">
        <v>0</v>
      </c>
      <c r="J370" s="13">
        <f t="shared" si="79"/>
        <v>62.07650000000001</v>
      </c>
      <c r="K370" s="13"/>
      <c r="L370" s="15">
        <f t="shared" si="80"/>
        <v>0.08</v>
      </c>
      <c r="M370" s="13">
        <f t="shared" si="81"/>
        <v>6.3120000000000003</v>
      </c>
      <c r="N370" s="13">
        <f t="shared" si="82"/>
        <v>10.514500000000009</v>
      </c>
      <c r="O370" s="15">
        <f t="shared" si="83"/>
        <v>0.1332636248415717</v>
      </c>
      <c r="P370" s="16">
        <f t="shared" si="84"/>
        <v>79</v>
      </c>
      <c r="Q370" s="41">
        <f t="shared" si="85"/>
        <v>0.2322151898734176</v>
      </c>
      <c r="T370" s="42"/>
      <c r="U370" s="16">
        <f t="shared" si="86"/>
        <v>94.8</v>
      </c>
      <c r="V370" s="41">
        <f t="shared" si="87"/>
        <v>0.16666666666666663</v>
      </c>
      <c r="W370" s="17">
        <f t="shared" si="88"/>
        <v>0.32767932489451468</v>
      </c>
      <c r="X370" s="41">
        <f t="shared" si="89"/>
        <v>0.2322151898734176</v>
      </c>
      <c r="Y370" s="43">
        <f t="shared" si="90"/>
        <v>18.344999999999992</v>
      </c>
      <c r="Z370" s="43">
        <f t="shared" si="91"/>
        <v>79</v>
      </c>
      <c r="AA370" s="44" t="str">
        <f t="shared" si="92"/>
        <v>⚠ Subiu p/ frete (I=0)</v>
      </c>
    </row>
    <row r="371" spans="1:27" ht="15" customHeight="1" x14ac:dyDescent="0.25">
      <c r="A371" s="12" t="s">
        <v>192</v>
      </c>
      <c r="B371" s="40">
        <v>45.25</v>
      </c>
      <c r="C371" s="12" t="s">
        <v>641</v>
      </c>
      <c r="D371" s="40">
        <v>78.900000000000006</v>
      </c>
      <c r="E371" s="13">
        <f t="shared" si="93"/>
        <v>9.073500000000001</v>
      </c>
      <c r="F371" s="14"/>
      <c r="G371" s="15">
        <v>0.115</v>
      </c>
      <c r="H371" s="40">
        <v>7.75</v>
      </c>
      <c r="I371" s="40">
        <v>0</v>
      </c>
      <c r="J371" s="13">
        <f t="shared" si="79"/>
        <v>62.07650000000001</v>
      </c>
      <c r="K371" s="13"/>
      <c r="L371" s="15">
        <f t="shared" si="80"/>
        <v>0.08</v>
      </c>
      <c r="M371" s="13">
        <f t="shared" si="81"/>
        <v>6.3120000000000003</v>
      </c>
      <c r="N371" s="13">
        <f t="shared" si="82"/>
        <v>10.514500000000009</v>
      </c>
      <c r="O371" s="15">
        <f t="shared" si="83"/>
        <v>0.1332636248415717</v>
      </c>
      <c r="P371" s="16">
        <f t="shared" si="84"/>
        <v>79</v>
      </c>
      <c r="Q371" s="41">
        <f t="shared" si="85"/>
        <v>0.2322151898734176</v>
      </c>
      <c r="T371" s="42"/>
      <c r="U371" s="16">
        <f t="shared" si="86"/>
        <v>94.8</v>
      </c>
      <c r="V371" s="41">
        <f t="shared" si="87"/>
        <v>0.16666666666666663</v>
      </c>
      <c r="W371" s="17">
        <f t="shared" si="88"/>
        <v>0.32767932489451468</v>
      </c>
      <c r="X371" s="41">
        <f t="shared" si="89"/>
        <v>0.2322151898734176</v>
      </c>
      <c r="Y371" s="43">
        <f t="shared" si="90"/>
        <v>18.344999999999992</v>
      </c>
      <c r="Z371" s="43">
        <f t="shared" si="91"/>
        <v>79</v>
      </c>
      <c r="AA371" s="44" t="str">
        <f t="shared" si="92"/>
        <v>⚠ Subiu p/ frete (I=0)</v>
      </c>
    </row>
    <row r="372" spans="1:27" ht="15" customHeight="1" x14ac:dyDescent="0.25">
      <c r="A372" s="12" t="s">
        <v>639</v>
      </c>
      <c r="B372" s="40">
        <v>45.25</v>
      </c>
      <c r="C372" s="12" t="s">
        <v>642</v>
      </c>
      <c r="D372" s="40">
        <v>99.9</v>
      </c>
      <c r="E372" s="14"/>
      <c r="F372" s="13">
        <f>D372*G372</f>
        <v>16.483500000000003</v>
      </c>
      <c r="G372" s="15">
        <v>0.16500000000000001</v>
      </c>
      <c r="H372" s="40">
        <v>0</v>
      </c>
      <c r="I372" s="40">
        <v>12.35</v>
      </c>
      <c r="J372" s="13">
        <f t="shared" si="79"/>
        <v>71.066500000000005</v>
      </c>
      <c r="K372" s="13"/>
      <c r="L372" s="15">
        <f t="shared" si="80"/>
        <v>0.08</v>
      </c>
      <c r="M372" s="13">
        <f t="shared" si="81"/>
        <v>7.9920000000000009</v>
      </c>
      <c r="N372" s="13">
        <f t="shared" si="82"/>
        <v>17.824500000000004</v>
      </c>
      <c r="O372" s="15">
        <f t="shared" si="83"/>
        <v>0.17842342342342346</v>
      </c>
      <c r="P372" s="16">
        <f t="shared" si="84"/>
        <v>78.989999999999995</v>
      </c>
      <c r="Q372" s="41">
        <f t="shared" si="85"/>
        <v>0.18214267628813768</v>
      </c>
      <c r="T372" s="42"/>
      <c r="U372" s="16">
        <f t="shared" si="86"/>
        <v>94.787999999999997</v>
      </c>
      <c r="V372" s="41">
        <f t="shared" si="87"/>
        <v>0.16666666666666674</v>
      </c>
      <c r="W372" s="17">
        <f t="shared" si="88"/>
        <v>0.14732814280288642</v>
      </c>
      <c r="X372" s="41">
        <f t="shared" si="89"/>
        <v>0.18214267628813768</v>
      </c>
      <c r="Y372" s="43">
        <f t="shared" si="90"/>
        <v>14.387449999999994</v>
      </c>
      <c r="Z372" s="43">
        <f t="shared" si="91"/>
        <v>78.989999999999995</v>
      </c>
      <c r="AA372" s="44" t="str">
        <f t="shared" si="92"/>
        <v>Forçado &lt;79 (evita frete)</v>
      </c>
    </row>
    <row r="373" spans="1:27" ht="15" customHeight="1" x14ac:dyDescent="0.25">
      <c r="A373" s="12" t="s">
        <v>643</v>
      </c>
      <c r="B373" s="40">
        <v>45.25</v>
      </c>
      <c r="C373" s="12" t="s">
        <v>644</v>
      </c>
      <c r="D373" s="40">
        <v>99.9</v>
      </c>
      <c r="E373" s="14"/>
      <c r="F373" s="13">
        <f>D373*G373</f>
        <v>16.483500000000003</v>
      </c>
      <c r="G373" s="15">
        <v>0.16500000000000001</v>
      </c>
      <c r="H373" s="40">
        <v>0</v>
      </c>
      <c r="I373" s="40">
        <v>12.35</v>
      </c>
      <c r="J373" s="13">
        <f t="shared" si="79"/>
        <v>71.066500000000005</v>
      </c>
      <c r="K373" s="13"/>
      <c r="L373" s="15">
        <f t="shared" si="80"/>
        <v>0.08</v>
      </c>
      <c r="M373" s="13">
        <f t="shared" si="81"/>
        <v>7.9920000000000009</v>
      </c>
      <c r="N373" s="13">
        <f t="shared" si="82"/>
        <v>17.824500000000004</v>
      </c>
      <c r="O373" s="15">
        <f t="shared" si="83"/>
        <v>0.17842342342342346</v>
      </c>
      <c r="P373" s="16">
        <f t="shared" si="84"/>
        <v>78.989999999999995</v>
      </c>
      <c r="Q373" s="41">
        <f t="shared" si="85"/>
        <v>0.18214267628813768</v>
      </c>
      <c r="T373" s="42"/>
      <c r="U373" s="16">
        <f t="shared" si="86"/>
        <v>94.787999999999997</v>
      </c>
      <c r="V373" s="41">
        <f t="shared" si="87"/>
        <v>0.16666666666666674</v>
      </c>
      <c r="W373" s="17">
        <f t="shared" si="88"/>
        <v>0.14732814280288642</v>
      </c>
      <c r="X373" s="41">
        <f t="shared" si="89"/>
        <v>0.18214267628813768</v>
      </c>
      <c r="Y373" s="43">
        <f t="shared" si="90"/>
        <v>14.387449999999994</v>
      </c>
      <c r="Z373" s="43">
        <f t="shared" si="91"/>
        <v>78.989999999999995</v>
      </c>
      <c r="AA373" s="44" t="str">
        <f t="shared" si="92"/>
        <v>Forçado &lt;79 (evita frete)</v>
      </c>
    </row>
    <row r="374" spans="1:27" ht="15" customHeight="1" x14ac:dyDescent="0.25">
      <c r="A374" s="12" t="s">
        <v>643</v>
      </c>
      <c r="B374" s="40">
        <v>45.25</v>
      </c>
      <c r="C374" s="12" t="s">
        <v>645</v>
      </c>
      <c r="D374" s="40">
        <v>78.900000000000006</v>
      </c>
      <c r="E374" s="13">
        <f>D374*G374</f>
        <v>9.073500000000001</v>
      </c>
      <c r="F374" s="14"/>
      <c r="G374" s="15">
        <v>0.115</v>
      </c>
      <c r="H374" s="40">
        <v>7.75</v>
      </c>
      <c r="I374" s="40">
        <v>0</v>
      </c>
      <c r="J374" s="13">
        <f t="shared" si="79"/>
        <v>62.07650000000001</v>
      </c>
      <c r="K374" s="13"/>
      <c r="L374" s="15">
        <f t="shared" si="80"/>
        <v>0.08</v>
      </c>
      <c r="M374" s="13">
        <f t="shared" si="81"/>
        <v>6.3120000000000003</v>
      </c>
      <c r="N374" s="13">
        <f t="shared" si="82"/>
        <v>10.514500000000009</v>
      </c>
      <c r="O374" s="15">
        <f t="shared" si="83"/>
        <v>0.1332636248415717</v>
      </c>
      <c r="P374" s="16">
        <f t="shared" si="84"/>
        <v>79</v>
      </c>
      <c r="Q374" s="41">
        <f t="shared" si="85"/>
        <v>0.2322151898734176</v>
      </c>
      <c r="T374" s="42"/>
      <c r="U374" s="16">
        <f t="shared" si="86"/>
        <v>94.8</v>
      </c>
      <c r="V374" s="41">
        <f t="shared" si="87"/>
        <v>0.16666666666666663</v>
      </c>
      <c r="W374" s="17">
        <f t="shared" si="88"/>
        <v>0.32767932489451468</v>
      </c>
      <c r="X374" s="41">
        <f t="shared" si="89"/>
        <v>0.2322151898734176</v>
      </c>
      <c r="Y374" s="43">
        <f t="shared" si="90"/>
        <v>18.344999999999992</v>
      </c>
      <c r="Z374" s="43">
        <f t="shared" si="91"/>
        <v>79</v>
      </c>
      <c r="AA374" s="44" t="str">
        <f t="shared" si="92"/>
        <v>⚠ Subiu p/ frete (I=0)</v>
      </c>
    </row>
    <row r="375" spans="1:27" ht="15" customHeight="1" x14ac:dyDescent="0.25">
      <c r="A375" s="12" t="s">
        <v>646</v>
      </c>
      <c r="B375" s="40">
        <v>76.42</v>
      </c>
      <c r="C375" s="12" t="s">
        <v>647</v>
      </c>
      <c r="D375" s="40">
        <v>174.9</v>
      </c>
      <c r="E375" s="14"/>
      <c r="F375" s="13">
        <f>D375*G375</f>
        <v>28.858500000000003</v>
      </c>
      <c r="G375" s="15">
        <v>0.16500000000000001</v>
      </c>
      <c r="H375" s="40">
        <v>0</v>
      </c>
      <c r="I375" s="40">
        <v>21.15</v>
      </c>
      <c r="J375" s="13">
        <f t="shared" si="79"/>
        <v>124.89150000000001</v>
      </c>
      <c r="K375" s="13"/>
      <c r="L375" s="15">
        <f t="shared" si="80"/>
        <v>0.08</v>
      </c>
      <c r="M375" s="13">
        <f t="shared" si="81"/>
        <v>13.992000000000001</v>
      </c>
      <c r="N375" s="13">
        <f t="shared" si="82"/>
        <v>34.479500000000002</v>
      </c>
      <c r="O375" s="15">
        <f t="shared" si="83"/>
        <v>0.1971383647798742</v>
      </c>
      <c r="P375" s="16">
        <f t="shared" si="84"/>
        <v>175.80180180180182</v>
      </c>
      <c r="Q375" s="41">
        <f t="shared" si="85"/>
        <v>0.19999999999999996</v>
      </c>
      <c r="T375" s="42"/>
      <c r="U375" s="16">
        <f t="shared" si="86"/>
        <v>210.96216216216217</v>
      </c>
      <c r="V375" s="41">
        <f t="shared" si="87"/>
        <v>0.16666666666666663</v>
      </c>
      <c r="W375" s="17">
        <f t="shared" si="88"/>
        <v>0.29249999999999998</v>
      </c>
      <c r="X375" s="41">
        <f t="shared" si="89"/>
        <v>0.19999999999999996</v>
      </c>
      <c r="Y375" s="43">
        <f t="shared" si="90"/>
        <v>35.160360360360357</v>
      </c>
      <c r="Z375" s="43">
        <f t="shared" si="91"/>
        <v>175.80180180180182</v>
      </c>
      <c r="AA375" s="44" t="str">
        <f t="shared" si="92"/>
        <v>OK</v>
      </c>
    </row>
    <row r="376" spans="1:27" ht="15" customHeight="1" x14ac:dyDescent="0.25">
      <c r="A376" s="12" t="s">
        <v>648</v>
      </c>
      <c r="B376" s="40">
        <v>20.420000000000002</v>
      </c>
      <c r="C376" s="12" t="s">
        <v>649</v>
      </c>
      <c r="D376" s="40">
        <v>43.9</v>
      </c>
      <c r="E376" s="13">
        <f>D376*G376</f>
        <v>5.0484999999999998</v>
      </c>
      <c r="F376" s="14"/>
      <c r="G376" s="15">
        <v>0.115</v>
      </c>
      <c r="H376" s="40">
        <v>6.85</v>
      </c>
      <c r="I376" s="40">
        <v>0</v>
      </c>
      <c r="J376" s="13">
        <f t="shared" si="79"/>
        <v>32.0015</v>
      </c>
      <c r="K376" s="13"/>
      <c r="L376" s="15">
        <f t="shared" si="80"/>
        <v>0.08</v>
      </c>
      <c r="M376" s="13">
        <f t="shared" si="81"/>
        <v>3.512</v>
      </c>
      <c r="N376" s="13">
        <f t="shared" si="82"/>
        <v>8.0694999999999979</v>
      </c>
      <c r="O376" s="15">
        <f t="shared" si="83"/>
        <v>0.18381548974943049</v>
      </c>
      <c r="P376" s="16">
        <f t="shared" si="84"/>
        <v>45.074380165289263</v>
      </c>
      <c r="Q376" s="41">
        <f t="shared" si="85"/>
        <v>0.2</v>
      </c>
      <c r="T376" s="42"/>
      <c r="U376" s="16">
        <f t="shared" si="86"/>
        <v>54.089256198347115</v>
      </c>
      <c r="V376" s="41">
        <f t="shared" si="87"/>
        <v>0.16666666666666663</v>
      </c>
      <c r="W376" s="17">
        <f t="shared" si="88"/>
        <v>0.30083333333333334</v>
      </c>
      <c r="X376" s="41">
        <f t="shared" si="89"/>
        <v>0.2</v>
      </c>
      <c r="Y376" s="43">
        <f t="shared" si="90"/>
        <v>9.0148760330578526</v>
      </c>
      <c r="Z376" s="43">
        <f t="shared" si="91"/>
        <v>45.074380165289263</v>
      </c>
      <c r="AA376" s="44" t="str">
        <f t="shared" si="92"/>
        <v>OK</v>
      </c>
    </row>
    <row r="377" spans="1:27" ht="15" customHeight="1" x14ac:dyDescent="0.25">
      <c r="A377" s="12" t="s">
        <v>646</v>
      </c>
      <c r="B377" s="40">
        <v>76.42</v>
      </c>
      <c r="C377" s="12" t="s">
        <v>650</v>
      </c>
      <c r="D377" s="40">
        <v>159.9</v>
      </c>
      <c r="E377" s="13">
        <f>D377*G377</f>
        <v>18.388500000000001</v>
      </c>
      <c r="F377" s="14"/>
      <c r="G377" s="15">
        <v>0.115</v>
      </c>
      <c r="H377" s="40">
        <v>0</v>
      </c>
      <c r="I377" s="40">
        <v>21.15</v>
      </c>
      <c r="J377" s="13">
        <f t="shared" si="79"/>
        <v>120.36150000000001</v>
      </c>
      <c r="K377" s="13"/>
      <c r="L377" s="15">
        <f t="shared" si="80"/>
        <v>0.08</v>
      </c>
      <c r="M377" s="13">
        <f t="shared" si="81"/>
        <v>12.792000000000002</v>
      </c>
      <c r="N377" s="13">
        <f t="shared" si="82"/>
        <v>31.149500000000003</v>
      </c>
      <c r="O377" s="15">
        <f t="shared" si="83"/>
        <v>0.19480612883051909</v>
      </c>
      <c r="P377" s="16">
        <f t="shared" si="84"/>
        <v>161.27272727272725</v>
      </c>
      <c r="Q377" s="41">
        <f t="shared" si="85"/>
        <v>0.1999999999999999</v>
      </c>
      <c r="T377" s="42"/>
      <c r="U377" s="16">
        <f t="shared" si="86"/>
        <v>193.5272727272727</v>
      </c>
      <c r="V377" s="41">
        <f t="shared" si="87"/>
        <v>0.16666666666666663</v>
      </c>
      <c r="W377" s="17">
        <f t="shared" si="88"/>
        <v>0.30083333333333312</v>
      </c>
      <c r="X377" s="41">
        <f t="shared" si="89"/>
        <v>0.1999999999999999</v>
      </c>
      <c r="Y377" s="43">
        <f t="shared" si="90"/>
        <v>32.254545454545436</v>
      </c>
      <c r="Z377" s="43">
        <f t="shared" si="91"/>
        <v>161.27272727272725</v>
      </c>
      <c r="AA377" s="44" t="str">
        <f t="shared" si="92"/>
        <v>OK</v>
      </c>
    </row>
    <row r="378" spans="1:27" ht="15" customHeight="1" x14ac:dyDescent="0.25">
      <c r="A378" s="12" t="s">
        <v>651</v>
      </c>
      <c r="B378" s="40">
        <v>48.42</v>
      </c>
      <c r="C378" s="12" t="s">
        <v>652</v>
      </c>
      <c r="D378" s="40">
        <v>115.9</v>
      </c>
      <c r="E378" s="14"/>
      <c r="F378" s="13">
        <f>D378*G378</f>
        <v>19.123500000000003</v>
      </c>
      <c r="G378" s="15">
        <v>0.16500000000000001</v>
      </c>
      <c r="H378" s="40">
        <v>0</v>
      </c>
      <c r="I378" s="40">
        <v>16.45</v>
      </c>
      <c r="J378" s="13">
        <f t="shared" si="79"/>
        <v>80.326499999999996</v>
      </c>
      <c r="K378" s="13"/>
      <c r="L378" s="15">
        <f t="shared" si="80"/>
        <v>0.08</v>
      </c>
      <c r="M378" s="13">
        <f t="shared" si="81"/>
        <v>9.2720000000000002</v>
      </c>
      <c r="N378" s="13">
        <f t="shared" si="82"/>
        <v>22.634499999999996</v>
      </c>
      <c r="O378" s="15">
        <f t="shared" si="83"/>
        <v>0.1952933563416738</v>
      </c>
      <c r="P378" s="16">
        <f t="shared" si="84"/>
        <v>116.88288288288291</v>
      </c>
      <c r="Q378" s="41">
        <f t="shared" si="85"/>
        <v>0.20000000000000012</v>
      </c>
      <c r="T378" s="42"/>
      <c r="U378" s="16">
        <f t="shared" si="86"/>
        <v>140.25945945945949</v>
      </c>
      <c r="V378" s="41">
        <f t="shared" si="87"/>
        <v>0.16666666666666663</v>
      </c>
      <c r="W378" s="17">
        <f t="shared" si="88"/>
        <v>0.29250000000000009</v>
      </c>
      <c r="X378" s="41">
        <f t="shared" si="89"/>
        <v>0.20000000000000012</v>
      </c>
      <c r="Y378" s="43">
        <f t="shared" si="90"/>
        <v>23.376576576576596</v>
      </c>
      <c r="Z378" s="43">
        <f t="shared" si="91"/>
        <v>116.88288288288291</v>
      </c>
      <c r="AA378" s="44" t="str">
        <f t="shared" si="92"/>
        <v>OK</v>
      </c>
    </row>
    <row r="379" spans="1:27" ht="15" customHeight="1" x14ac:dyDescent="0.25">
      <c r="A379" s="12" t="s">
        <v>646</v>
      </c>
      <c r="B379" s="40">
        <v>76.42</v>
      </c>
      <c r="C379" s="12" t="s">
        <v>653</v>
      </c>
      <c r="D379" s="40">
        <v>156.9</v>
      </c>
      <c r="E379" s="13">
        <f>D379*G379</f>
        <v>18.043500000000002</v>
      </c>
      <c r="F379" s="14"/>
      <c r="G379" s="15">
        <v>0.115</v>
      </c>
      <c r="H379" s="40">
        <v>0</v>
      </c>
      <c r="I379" s="40">
        <v>21.15</v>
      </c>
      <c r="J379" s="13">
        <f t="shared" si="79"/>
        <v>117.70650000000001</v>
      </c>
      <c r="K379" s="13"/>
      <c r="L379" s="15">
        <f t="shared" si="80"/>
        <v>0.08</v>
      </c>
      <c r="M379" s="13">
        <f t="shared" si="81"/>
        <v>12.552000000000001</v>
      </c>
      <c r="N379" s="13">
        <f t="shared" si="82"/>
        <v>28.734500000000004</v>
      </c>
      <c r="O379" s="15">
        <f t="shared" si="83"/>
        <v>0.18313894200127473</v>
      </c>
      <c r="P379" s="16">
        <f t="shared" si="84"/>
        <v>161.27272727272725</v>
      </c>
      <c r="Q379" s="41">
        <f t="shared" si="85"/>
        <v>0.1999999999999999</v>
      </c>
      <c r="T379" s="42"/>
      <c r="U379" s="16">
        <f t="shared" si="86"/>
        <v>193.5272727272727</v>
      </c>
      <c r="V379" s="41">
        <f t="shared" si="87"/>
        <v>0.16666666666666663</v>
      </c>
      <c r="W379" s="17">
        <f t="shared" si="88"/>
        <v>0.30083333333333312</v>
      </c>
      <c r="X379" s="41">
        <f t="shared" si="89"/>
        <v>0.1999999999999999</v>
      </c>
      <c r="Y379" s="43">
        <f t="shared" si="90"/>
        <v>32.254545454545436</v>
      </c>
      <c r="Z379" s="43">
        <f t="shared" si="91"/>
        <v>161.27272727272725</v>
      </c>
      <c r="AA379" s="44" t="str">
        <f t="shared" si="92"/>
        <v>OK</v>
      </c>
    </row>
    <row r="380" spans="1:27" ht="15" customHeight="1" x14ac:dyDescent="0.25">
      <c r="A380" s="12" t="s">
        <v>651</v>
      </c>
      <c r="B380" s="40">
        <v>48.42</v>
      </c>
      <c r="C380" s="12" t="s">
        <v>654</v>
      </c>
      <c r="D380" s="40">
        <v>106.9</v>
      </c>
      <c r="E380" s="13">
        <f>D380*G380</f>
        <v>12.293500000000002</v>
      </c>
      <c r="F380" s="14"/>
      <c r="G380" s="15">
        <v>0.115</v>
      </c>
      <c r="H380" s="40">
        <v>0</v>
      </c>
      <c r="I380" s="40">
        <v>16.45</v>
      </c>
      <c r="J380" s="13">
        <f t="shared" si="79"/>
        <v>78.156500000000008</v>
      </c>
      <c r="K380" s="13"/>
      <c r="L380" s="15">
        <f t="shared" si="80"/>
        <v>0.08</v>
      </c>
      <c r="M380" s="13">
        <f t="shared" si="81"/>
        <v>8.5520000000000014</v>
      </c>
      <c r="N380" s="13">
        <f t="shared" si="82"/>
        <v>21.184500000000007</v>
      </c>
      <c r="O380" s="15">
        <f t="shared" si="83"/>
        <v>0.19817118802619277</v>
      </c>
      <c r="P380" s="16">
        <f t="shared" si="84"/>
        <v>78.989999999999995</v>
      </c>
      <c r="Q380" s="41">
        <f t="shared" si="85"/>
        <v>0.19201101405241161</v>
      </c>
      <c r="T380" s="42"/>
      <c r="U380" s="16">
        <f t="shared" si="86"/>
        <v>94.787999999999997</v>
      </c>
      <c r="V380" s="41">
        <f t="shared" si="87"/>
        <v>0.16666666666666674</v>
      </c>
      <c r="W380" s="17">
        <f t="shared" si="88"/>
        <v>0.12063067054901457</v>
      </c>
      <c r="X380" s="41">
        <f t="shared" si="89"/>
        <v>0.19201101405241161</v>
      </c>
      <c r="Y380" s="43">
        <f t="shared" si="90"/>
        <v>15.166949999999993</v>
      </c>
      <c r="Z380" s="43">
        <f t="shared" si="91"/>
        <v>78.989999999999995</v>
      </c>
      <c r="AA380" s="44" t="str">
        <f t="shared" si="92"/>
        <v>Forçado &lt;79 (evita frete)</v>
      </c>
    </row>
    <row r="381" spans="1:27" ht="15" customHeight="1" x14ac:dyDescent="0.25">
      <c r="A381" s="12" t="s">
        <v>655</v>
      </c>
      <c r="B381" s="40">
        <v>56.2</v>
      </c>
      <c r="C381" s="12" t="s">
        <v>656</v>
      </c>
      <c r="D381" s="40">
        <v>129.9</v>
      </c>
      <c r="E381" s="14"/>
      <c r="F381" s="13">
        <f>D381*G381</f>
        <v>21.433500000000002</v>
      </c>
      <c r="G381" s="15">
        <v>0.16500000000000001</v>
      </c>
      <c r="H381" s="40">
        <v>0</v>
      </c>
      <c r="I381" s="40">
        <v>16.45</v>
      </c>
      <c r="J381" s="13">
        <f t="shared" si="79"/>
        <v>92.016499999999994</v>
      </c>
      <c r="K381" s="13"/>
      <c r="L381" s="15">
        <f t="shared" si="80"/>
        <v>0.08</v>
      </c>
      <c r="M381" s="13">
        <f t="shared" si="81"/>
        <v>10.392000000000001</v>
      </c>
      <c r="N381" s="13">
        <f t="shared" si="82"/>
        <v>25.424499999999988</v>
      </c>
      <c r="O381" s="15">
        <f t="shared" si="83"/>
        <v>0.1957236335642801</v>
      </c>
      <c r="P381" s="16">
        <f t="shared" si="84"/>
        <v>130.90090090090092</v>
      </c>
      <c r="Q381" s="41">
        <f t="shared" si="85"/>
        <v>0.2</v>
      </c>
      <c r="T381" s="42"/>
      <c r="U381" s="16">
        <f t="shared" si="86"/>
        <v>157.08108108108109</v>
      </c>
      <c r="V381" s="41">
        <f t="shared" si="87"/>
        <v>0.16666666666666663</v>
      </c>
      <c r="W381" s="17">
        <f t="shared" si="88"/>
        <v>0.29250000000000004</v>
      </c>
      <c r="X381" s="41">
        <f t="shared" si="89"/>
        <v>0.2</v>
      </c>
      <c r="Y381" s="43">
        <f t="shared" si="90"/>
        <v>26.180180180180187</v>
      </c>
      <c r="Z381" s="43">
        <f t="shared" si="91"/>
        <v>130.90090090090092</v>
      </c>
      <c r="AA381" s="44" t="str">
        <f t="shared" si="92"/>
        <v>OK</v>
      </c>
    </row>
    <row r="382" spans="1:27" ht="15" customHeight="1" x14ac:dyDescent="0.25">
      <c r="A382" s="12" t="s">
        <v>657</v>
      </c>
      <c r="B382" s="40">
        <v>33.799999999999997</v>
      </c>
      <c r="C382" s="12" t="s">
        <v>658</v>
      </c>
      <c r="D382" s="40">
        <v>68.900000000000006</v>
      </c>
      <c r="E382" s="13">
        <f>D382*G382</f>
        <v>7.9235000000000007</v>
      </c>
      <c r="F382" s="14"/>
      <c r="G382" s="15">
        <v>0.115</v>
      </c>
      <c r="H382" s="40">
        <v>7.75</v>
      </c>
      <c r="I382" s="40">
        <v>0</v>
      </c>
      <c r="J382" s="13">
        <f t="shared" si="79"/>
        <v>53.226500000000001</v>
      </c>
      <c r="K382" s="13"/>
      <c r="L382" s="15">
        <f t="shared" si="80"/>
        <v>0.08</v>
      </c>
      <c r="M382" s="13">
        <f t="shared" si="81"/>
        <v>5.5120000000000005</v>
      </c>
      <c r="N382" s="13">
        <f t="shared" si="82"/>
        <v>13.914500000000004</v>
      </c>
      <c r="O382" s="15">
        <f t="shared" si="83"/>
        <v>0.20195210449927434</v>
      </c>
      <c r="P382" s="16">
        <f t="shared" si="84"/>
        <v>68.67768595041322</v>
      </c>
      <c r="Q382" s="41">
        <f t="shared" si="85"/>
        <v>0.2</v>
      </c>
      <c r="T382" s="42"/>
      <c r="U382" s="16">
        <f t="shared" si="86"/>
        <v>82.413223140495859</v>
      </c>
      <c r="V382" s="41">
        <f t="shared" si="87"/>
        <v>0.16666666666666663</v>
      </c>
      <c r="W382" s="17">
        <f t="shared" si="88"/>
        <v>0.39487164059366225</v>
      </c>
      <c r="X382" s="41">
        <f t="shared" si="89"/>
        <v>0.2</v>
      </c>
      <c r="Y382" s="43">
        <f t="shared" si="90"/>
        <v>13.735537190082646</v>
      </c>
      <c r="Z382" s="43">
        <f t="shared" si="91"/>
        <v>68.67768595041322</v>
      </c>
      <c r="AA382" s="44" t="str">
        <f t="shared" si="92"/>
        <v>OK</v>
      </c>
    </row>
    <row r="383" spans="1:27" ht="15" customHeight="1" x14ac:dyDescent="0.25">
      <c r="A383" s="12" t="s">
        <v>659</v>
      </c>
      <c r="B383" s="40">
        <v>8.91</v>
      </c>
      <c r="C383" s="12" t="s">
        <v>660</v>
      </c>
      <c r="D383" s="40">
        <v>25.79</v>
      </c>
      <c r="E383" s="13">
        <f>D383*G383</f>
        <v>2.8369</v>
      </c>
      <c r="F383" s="14"/>
      <c r="G383" s="15">
        <v>0.11</v>
      </c>
      <c r="H383" s="40">
        <v>6.55</v>
      </c>
      <c r="I383" s="40">
        <v>0</v>
      </c>
      <c r="J383" s="13">
        <f t="shared" si="79"/>
        <v>16.403099999999998</v>
      </c>
      <c r="K383" s="13"/>
      <c r="L383" s="15">
        <f t="shared" si="80"/>
        <v>0.08</v>
      </c>
      <c r="M383" s="13">
        <f t="shared" si="81"/>
        <v>2.0632000000000001</v>
      </c>
      <c r="N383" s="13">
        <f t="shared" si="82"/>
        <v>5.4298999999999982</v>
      </c>
      <c r="O383" s="15">
        <f t="shared" si="83"/>
        <v>0.21054284606436596</v>
      </c>
      <c r="P383" s="16">
        <f t="shared" si="84"/>
        <v>25.344262295081965</v>
      </c>
      <c r="Q383" s="41">
        <f t="shared" si="85"/>
        <v>0.19999999999999993</v>
      </c>
      <c r="T383" s="42"/>
      <c r="U383" s="16">
        <f t="shared" si="86"/>
        <v>30.413114754098356</v>
      </c>
      <c r="V383" s="41">
        <f t="shared" si="87"/>
        <v>0.16666666666666663</v>
      </c>
      <c r="W383" s="17">
        <f t="shared" si="88"/>
        <v>0.30166666666666647</v>
      </c>
      <c r="X383" s="41">
        <f t="shared" si="89"/>
        <v>0.19999999999999993</v>
      </c>
      <c r="Y383" s="43">
        <f t="shared" si="90"/>
        <v>5.0688524590163908</v>
      </c>
      <c r="Z383" s="43">
        <f t="shared" si="91"/>
        <v>25.344262295081965</v>
      </c>
      <c r="AA383" s="44" t="str">
        <f t="shared" si="92"/>
        <v>OK</v>
      </c>
    </row>
    <row r="384" spans="1:27" ht="15" customHeight="1" x14ac:dyDescent="0.25">
      <c r="A384" s="12" t="s">
        <v>661</v>
      </c>
      <c r="B384" s="40">
        <v>8.91</v>
      </c>
      <c r="C384" s="12" t="s">
        <v>662</v>
      </c>
      <c r="D384" s="40">
        <v>25.79</v>
      </c>
      <c r="E384" s="13">
        <f>D384*G384</f>
        <v>2.8369</v>
      </c>
      <c r="F384" s="14"/>
      <c r="G384" s="15">
        <v>0.11</v>
      </c>
      <c r="H384" s="40">
        <v>6.55</v>
      </c>
      <c r="I384" s="40">
        <v>0</v>
      </c>
      <c r="J384" s="13">
        <f t="shared" si="79"/>
        <v>16.403099999999998</v>
      </c>
      <c r="K384" s="13"/>
      <c r="L384" s="15">
        <f t="shared" si="80"/>
        <v>0.08</v>
      </c>
      <c r="M384" s="13">
        <f t="shared" si="81"/>
        <v>2.0632000000000001</v>
      </c>
      <c r="N384" s="13">
        <f t="shared" si="82"/>
        <v>5.4298999999999982</v>
      </c>
      <c r="O384" s="15">
        <f t="shared" si="83"/>
        <v>0.21054284606436596</v>
      </c>
      <c r="P384" s="16">
        <f t="shared" si="84"/>
        <v>25.344262295081965</v>
      </c>
      <c r="Q384" s="41">
        <f t="shared" si="85"/>
        <v>0.19999999999999993</v>
      </c>
      <c r="T384" s="42"/>
      <c r="U384" s="16">
        <f t="shared" si="86"/>
        <v>30.413114754098356</v>
      </c>
      <c r="V384" s="41">
        <f t="shared" si="87"/>
        <v>0.16666666666666663</v>
      </c>
      <c r="W384" s="17">
        <f t="shared" si="88"/>
        <v>0.30166666666666647</v>
      </c>
      <c r="X384" s="41">
        <f t="shared" si="89"/>
        <v>0.19999999999999993</v>
      </c>
      <c r="Y384" s="43">
        <f t="shared" si="90"/>
        <v>5.0688524590163908</v>
      </c>
      <c r="Z384" s="43">
        <f t="shared" si="91"/>
        <v>25.344262295081965</v>
      </c>
      <c r="AA384" s="44" t="str">
        <f t="shared" si="92"/>
        <v>OK</v>
      </c>
    </row>
    <row r="385" spans="1:27" ht="15" customHeight="1" x14ac:dyDescent="0.25">
      <c r="A385" s="12" t="s">
        <v>663</v>
      </c>
      <c r="B385" s="40">
        <v>8.91</v>
      </c>
      <c r="C385" s="12" t="s">
        <v>664</v>
      </c>
      <c r="D385" s="40">
        <v>25.79</v>
      </c>
      <c r="E385" s="13">
        <f>D385*G385</f>
        <v>2.8369</v>
      </c>
      <c r="F385" s="14"/>
      <c r="G385" s="15">
        <v>0.11</v>
      </c>
      <c r="H385" s="40">
        <v>6.55</v>
      </c>
      <c r="I385" s="40">
        <v>0</v>
      </c>
      <c r="J385" s="13">
        <f t="shared" si="79"/>
        <v>16.403099999999998</v>
      </c>
      <c r="K385" s="13"/>
      <c r="L385" s="15">
        <f t="shared" si="80"/>
        <v>0.08</v>
      </c>
      <c r="M385" s="13">
        <f t="shared" si="81"/>
        <v>2.0632000000000001</v>
      </c>
      <c r="N385" s="13">
        <f t="shared" si="82"/>
        <v>5.4298999999999982</v>
      </c>
      <c r="O385" s="15">
        <f t="shared" si="83"/>
        <v>0.21054284606436596</v>
      </c>
      <c r="P385" s="16">
        <f t="shared" si="84"/>
        <v>25.344262295081965</v>
      </c>
      <c r="Q385" s="41">
        <f t="shared" si="85"/>
        <v>0.19999999999999993</v>
      </c>
      <c r="T385" s="42"/>
      <c r="U385" s="16">
        <f t="shared" si="86"/>
        <v>30.413114754098356</v>
      </c>
      <c r="V385" s="41">
        <f t="shared" si="87"/>
        <v>0.16666666666666663</v>
      </c>
      <c r="W385" s="17">
        <f t="shared" si="88"/>
        <v>0.30166666666666647</v>
      </c>
      <c r="X385" s="41">
        <f t="shared" si="89"/>
        <v>0.19999999999999993</v>
      </c>
      <c r="Y385" s="43">
        <f t="shared" si="90"/>
        <v>5.0688524590163908</v>
      </c>
      <c r="Z385" s="43">
        <f t="shared" si="91"/>
        <v>25.344262295081965</v>
      </c>
      <c r="AA385" s="44" t="str">
        <f t="shared" si="92"/>
        <v>OK</v>
      </c>
    </row>
    <row r="386" spans="1:27" ht="15" customHeight="1" x14ac:dyDescent="0.25">
      <c r="A386" s="12" t="s">
        <v>665</v>
      </c>
      <c r="B386" s="40">
        <v>84.2</v>
      </c>
      <c r="C386" s="12" t="s">
        <v>666</v>
      </c>
      <c r="D386" s="40">
        <v>183.9</v>
      </c>
      <c r="E386" s="14"/>
      <c r="F386" s="13">
        <f>D386*G386</f>
        <v>30.343500000000002</v>
      </c>
      <c r="G386" s="15">
        <v>0.16500000000000001</v>
      </c>
      <c r="H386" s="40">
        <v>0</v>
      </c>
      <c r="I386" s="40">
        <v>18.45</v>
      </c>
      <c r="J386" s="13">
        <f t="shared" si="79"/>
        <v>135.10650000000001</v>
      </c>
      <c r="K386" s="13"/>
      <c r="L386" s="15">
        <f t="shared" si="80"/>
        <v>0.08</v>
      </c>
      <c r="M386" s="13">
        <f t="shared" si="81"/>
        <v>14.712000000000002</v>
      </c>
      <c r="N386" s="13">
        <f t="shared" si="82"/>
        <v>36.194500000000005</v>
      </c>
      <c r="O386" s="15">
        <f t="shared" si="83"/>
        <v>0.1968162044589451</v>
      </c>
      <c r="P386" s="16">
        <f t="shared" si="84"/>
        <v>184.95495495495499</v>
      </c>
      <c r="Q386" s="41">
        <f t="shared" si="85"/>
        <v>0.20000000000000015</v>
      </c>
      <c r="T386" s="42"/>
      <c r="U386" s="16">
        <f t="shared" si="86"/>
        <v>221.94594594594597</v>
      </c>
      <c r="V386" s="41">
        <f t="shared" si="87"/>
        <v>0.16666666666666663</v>
      </c>
      <c r="W386" s="17">
        <f t="shared" si="88"/>
        <v>0.29249999999999998</v>
      </c>
      <c r="X386" s="41">
        <f t="shared" si="89"/>
        <v>0.20000000000000015</v>
      </c>
      <c r="Y386" s="43">
        <f t="shared" si="90"/>
        <v>36.990990990991023</v>
      </c>
      <c r="Z386" s="43">
        <f t="shared" si="91"/>
        <v>184.95495495495499</v>
      </c>
      <c r="AA386" s="44" t="str">
        <f t="shared" si="92"/>
        <v>OK</v>
      </c>
    </row>
    <row r="387" spans="1:27" ht="15" customHeight="1" x14ac:dyDescent="0.25">
      <c r="A387" s="12" t="s">
        <v>667</v>
      </c>
      <c r="B387" s="40">
        <v>22.6</v>
      </c>
      <c r="C387" s="12" t="s">
        <v>668</v>
      </c>
      <c r="D387" s="40">
        <v>47.9</v>
      </c>
      <c r="E387" s="13">
        <f t="shared" ref="E387:E392" si="94">D387*G387</f>
        <v>5.5084999999999997</v>
      </c>
      <c r="F387" s="14"/>
      <c r="G387" s="15">
        <v>0.115</v>
      </c>
      <c r="H387" s="40">
        <v>6.55</v>
      </c>
      <c r="I387" s="40">
        <v>0</v>
      </c>
      <c r="J387" s="13">
        <f t="shared" ref="J387:J450" si="95">D387-IFERROR(E387,0)-IFERROR(F387,0)-IF(D387&lt;79,H387,0)-IF(D387&gt;=79,I387,0)</f>
        <v>35.841500000000003</v>
      </c>
      <c r="K387" s="13"/>
      <c r="L387" s="15">
        <f t="shared" ref="L387:L450" si="96">$K$2</f>
        <v>0.08</v>
      </c>
      <c r="M387" s="13">
        <f t="shared" ref="M387:M450" si="97">D387*$K$2</f>
        <v>3.8319999999999999</v>
      </c>
      <c r="N387" s="13">
        <f t="shared" ref="N387:N450" si="98">J387-IF(ISNUMBER(B387),B387,0)-M387</f>
        <v>9.4095000000000013</v>
      </c>
      <c r="O387" s="15">
        <f t="shared" ref="O387:O450" si="99">IFERROR(N387/D387,0)</f>
        <v>0.19644050104384136</v>
      </c>
      <c r="P387" s="16">
        <f t="shared" ref="P387:P450" si="100">IF(NOT(ISNUMBER(B387)),"",IF((1-G387-$K$2-$Q$2)&lt;=0,"erro",IF((B387+H387)/(1-G387-$K$2-$Q$2)&lt;79,(B387+H387)/(1-G387-$K$2-$Q$2),IF((78.99-78.99*G387-H387-78.99*$K$2-B387)/78.99&gt;=$R$2,78.99,IF((B387+I387)/(1-G387-$K$2-$Q$2)&gt;=79,(B387+I387)/(1-G387-$K$2-$Q$2),MAX(79,(B387+I387)/(1-G387-$K$2-$R$2)))))))</f>
        <v>48.181818181818187</v>
      </c>
      <c r="Q387" s="41">
        <f t="shared" ref="Q387:Q450" si="101">IF(NOT(ISNUMBER(P387)),"",(P387-P387*G387-IF(P387&lt;79,H387,I387)-P387*$K$2-B387)/P387)</f>
        <v>0.20000000000000021</v>
      </c>
      <c r="T387" s="42"/>
      <c r="U387" s="16">
        <f t="shared" ref="U387:U450" si="102">IF(NOT(ISNUMBER(P387)),"",P387*(1+$T$2))</f>
        <v>57.81818181818182</v>
      </c>
      <c r="V387" s="41">
        <f t="shared" ref="V387:V450" si="103">IF(NOT(ISNUMBER(U387)),"",1-P387/U387)</f>
        <v>0.16666666666666663</v>
      </c>
      <c r="W387" s="17">
        <f t="shared" ref="W387:W450" si="104">IF(NOT(ISNUMBER(U387)),"",(U387-U387*G387-IF(U387&lt;79,H387,I387)-U387*$K$2-B387)/U387)</f>
        <v>0.3008333333333334</v>
      </c>
      <c r="X387" s="41">
        <f t="shared" ref="X387:X450" si="105">IF(NOT(ISNUMBER(P387)),"",(P387-P387*G387-IF(P387&lt;79,H387,I387)-P387*$K$2-B387)/P387)</f>
        <v>0.20000000000000021</v>
      </c>
      <c r="Y387" s="43">
        <f t="shared" ref="Y387:Y450" si="106">IF(NOT(ISNUMBER(P387)),"",P387-P387*G387-IF(P387&lt;79,H387,I387)-P387*$K$2-B387)</f>
        <v>9.6363636363636473</v>
      </c>
      <c r="Z387" s="43">
        <f t="shared" ref="Z387:Z450" si="107">IF(NOT(ISNUMBER(P387)),"",P387)</f>
        <v>48.181818181818187</v>
      </c>
      <c r="AA387" s="44" t="str">
        <f t="shared" ref="AA387:AA450" si="108">IF(NOT(ISNUMBER(B387)),"Sem custo",IF(NOT(ISNUMBER(P387)),"",IF(AND(P387&gt;=79,I387=0),"⚠ Subiu p/ frete (I=0)",IF(ABS(P387-78.99)&lt;0.01,"Forçado &lt;79 (evita frete)",IF(AND(P387&gt;=79,Q387&lt;$Q$2-0.001),"Subiu p/ frete (min R2)",IF(Q387&lt;$R$2-0.001,"⚠ Margem abaixo do mínimo","OK"))))))</f>
        <v>OK</v>
      </c>
    </row>
    <row r="388" spans="1:27" ht="15" customHeight="1" x14ac:dyDescent="0.25">
      <c r="A388" s="12" t="s">
        <v>669</v>
      </c>
      <c r="B388" s="40">
        <v>12.21</v>
      </c>
      <c r="C388" s="12" t="s">
        <v>670</v>
      </c>
      <c r="D388" s="40">
        <v>30.9</v>
      </c>
      <c r="E388" s="13">
        <f t="shared" si="94"/>
        <v>3.399</v>
      </c>
      <c r="F388" s="14"/>
      <c r="G388" s="15">
        <v>0.11</v>
      </c>
      <c r="H388" s="40">
        <v>6.55</v>
      </c>
      <c r="I388" s="40">
        <v>0</v>
      </c>
      <c r="J388" s="13">
        <f t="shared" si="95"/>
        <v>20.950999999999997</v>
      </c>
      <c r="K388" s="13"/>
      <c r="L388" s="15">
        <f t="shared" si="96"/>
        <v>0.08</v>
      </c>
      <c r="M388" s="13">
        <f t="shared" si="97"/>
        <v>2.472</v>
      </c>
      <c r="N388" s="13">
        <f t="shared" si="98"/>
        <v>6.2689999999999966</v>
      </c>
      <c r="O388" s="15">
        <f t="shared" si="99"/>
        <v>0.20288025889967629</v>
      </c>
      <c r="P388" s="16">
        <f t="shared" si="100"/>
        <v>30.754098360655735</v>
      </c>
      <c r="Q388" s="41">
        <f t="shared" si="101"/>
        <v>0.19999999999999984</v>
      </c>
      <c r="T388" s="42"/>
      <c r="U388" s="16">
        <f t="shared" si="102"/>
        <v>36.904918032786881</v>
      </c>
      <c r="V388" s="41">
        <f t="shared" si="103"/>
        <v>0.16666666666666663</v>
      </c>
      <c r="W388" s="17">
        <f t="shared" si="104"/>
        <v>0.30166666666666642</v>
      </c>
      <c r="X388" s="41">
        <f t="shared" si="105"/>
        <v>0.19999999999999984</v>
      </c>
      <c r="Y388" s="43">
        <f t="shared" si="106"/>
        <v>6.1508196721311421</v>
      </c>
      <c r="Z388" s="43">
        <f t="shared" si="107"/>
        <v>30.754098360655735</v>
      </c>
      <c r="AA388" s="44" t="str">
        <f t="shared" si="108"/>
        <v>OK</v>
      </c>
    </row>
    <row r="389" spans="1:27" ht="15" customHeight="1" x14ac:dyDescent="0.25">
      <c r="A389" s="12" t="s">
        <v>671</v>
      </c>
      <c r="B389" s="40">
        <v>12.21</v>
      </c>
      <c r="C389" s="12" t="s">
        <v>672</v>
      </c>
      <c r="D389" s="40">
        <v>30.9</v>
      </c>
      <c r="E389" s="13">
        <f t="shared" si="94"/>
        <v>3.399</v>
      </c>
      <c r="F389" s="14"/>
      <c r="G389" s="15">
        <v>0.11</v>
      </c>
      <c r="H389" s="40">
        <v>6.55</v>
      </c>
      <c r="I389" s="40">
        <v>0</v>
      </c>
      <c r="J389" s="13">
        <f t="shared" si="95"/>
        <v>20.950999999999997</v>
      </c>
      <c r="K389" s="13"/>
      <c r="L389" s="15">
        <f t="shared" si="96"/>
        <v>0.08</v>
      </c>
      <c r="M389" s="13">
        <f t="shared" si="97"/>
        <v>2.472</v>
      </c>
      <c r="N389" s="13">
        <f t="shared" si="98"/>
        <v>6.2689999999999966</v>
      </c>
      <c r="O389" s="15">
        <f t="shared" si="99"/>
        <v>0.20288025889967629</v>
      </c>
      <c r="P389" s="16">
        <f t="shared" si="100"/>
        <v>30.754098360655735</v>
      </c>
      <c r="Q389" s="41">
        <f t="shared" si="101"/>
        <v>0.19999999999999984</v>
      </c>
      <c r="T389" s="42"/>
      <c r="U389" s="16">
        <f t="shared" si="102"/>
        <v>36.904918032786881</v>
      </c>
      <c r="V389" s="41">
        <f t="shared" si="103"/>
        <v>0.16666666666666663</v>
      </c>
      <c r="W389" s="17">
        <f t="shared" si="104"/>
        <v>0.30166666666666642</v>
      </c>
      <c r="X389" s="41">
        <f t="shared" si="105"/>
        <v>0.19999999999999984</v>
      </c>
      <c r="Y389" s="43">
        <f t="shared" si="106"/>
        <v>6.1508196721311421</v>
      </c>
      <c r="Z389" s="43">
        <f t="shared" si="107"/>
        <v>30.754098360655735</v>
      </c>
      <c r="AA389" s="44" t="str">
        <f t="shared" si="108"/>
        <v>OK</v>
      </c>
    </row>
    <row r="390" spans="1:27" ht="15" customHeight="1" x14ac:dyDescent="0.25">
      <c r="A390" s="12" t="s">
        <v>655</v>
      </c>
      <c r="B390" s="40">
        <v>56.2</v>
      </c>
      <c r="C390" s="12" t="s">
        <v>673</v>
      </c>
      <c r="D390" s="40">
        <v>107.9</v>
      </c>
      <c r="E390" s="13">
        <f t="shared" si="94"/>
        <v>12.408500000000002</v>
      </c>
      <c r="F390" s="14"/>
      <c r="G390" s="15">
        <v>0.115</v>
      </c>
      <c r="H390" s="40">
        <v>0</v>
      </c>
      <c r="I390" s="40">
        <v>14.35</v>
      </c>
      <c r="J390" s="13">
        <f t="shared" si="95"/>
        <v>81.141500000000008</v>
      </c>
      <c r="K390" s="13"/>
      <c r="L390" s="15">
        <f t="shared" si="96"/>
        <v>0.08</v>
      </c>
      <c r="M390" s="13">
        <f t="shared" si="97"/>
        <v>8.6320000000000014</v>
      </c>
      <c r="N390" s="13">
        <f t="shared" si="98"/>
        <v>16.309500000000003</v>
      </c>
      <c r="O390" s="15">
        <f t="shared" si="99"/>
        <v>0.15115384615384617</v>
      </c>
      <c r="P390" s="16">
        <f t="shared" si="100"/>
        <v>116.61157024793388</v>
      </c>
      <c r="Q390" s="41">
        <f t="shared" si="101"/>
        <v>0.2</v>
      </c>
      <c r="T390" s="42"/>
      <c r="U390" s="16">
        <f t="shared" si="102"/>
        <v>139.93388429752065</v>
      </c>
      <c r="V390" s="41">
        <f t="shared" si="103"/>
        <v>0.16666666666666663</v>
      </c>
      <c r="W390" s="17">
        <f t="shared" si="104"/>
        <v>0.30083333333333334</v>
      </c>
      <c r="X390" s="41">
        <f t="shared" si="105"/>
        <v>0.2</v>
      </c>
      <c r="Y390" s="43">
        <f t="shared" si="106"/>
        <v>23.32231404958678</v>
      </c>
      <c r="Z390" s="43">
        <f t="shared" si="107"/>
        <v>116.61157024793388</v>
      </c>
      <c r="AA390" s="44" t="str">
        <f t="shared" si="108"/>
        <v>OK</v>
      </c>
    </row>
    <row r="391" spans="1:27" ht="15" customHeight="1" x14ac:dyDescent="0.25">
      <c r="A391" s="12" t="s">
        <v>665</v>
      </c>
      <c r="B391" s="40">
        <v>84.2</v>
      </c>
      <c r="C391" s="12" t="s">
        <v>674</v>
      </c>
      <c r="D391" s="40">
        <v>168.9</v>
      </c>
      <c r="E391" s="13">
        <f t="shared" si="94"/>
        <v>19.423500000000001</v>
      </c>
      <c r="F391" s="14"/>
      <c r="G391" s="15">
        <v>0.115</v>
      </c>
      <c r="H391" s="40">
        <v>0</v>
      </c>
      <c r="I391" s="40">
        <v>18.45</v>
      </c>
      <c r="J391" s="13">
        <f t="shared" si="95"/>
        <v>131.02650000000003</v>
      </c>
      <c r="K391" s="13"/>
      <c r="L391" s="15">
        <f t="shared" si="96"/>
        <v>0.08</v>
      </c>
      <c r="M391" s="13">
        <f t="shared" si="97"/>
        <v>13.512</v>
      </c>
      <c r="N391" s="13">
        <f t="shared" si="98"/>
        <v>33.314500000000024</v>
      </c>
      <c r="O391" s="15">
        <f t="shared" si="99"/>
        <v>0.19724393132030801</v>
      </c>
      <c r="P391" s="16">
        <f t="shared" si="100"/>
        <v>169.66942148760333</v>
      </c>
      <c r="Q391" s="41">
        <f t="shared" si="101"/>
        <v>0.20000000000000015</v>
      </c>
      <c r="T391" s="42"/>
      <c r="U391" s="16">
        <f t="shared" si="102"/>
        <v>203.60330578512398</v>
      </c>
      <c r="V391" s="41">
        <f t="shared" si="103"/>
        <v>0.16666666666666663</v>
      </c>
      <c r="W391" s="17">
        <f t="shared" si="104"/>
        <v>0.30083333333333334</v>
      </c>
      <c r="X391" s="41">
        <f t="shared" si="105"/>
        <v>0.20000000000000015</v>
      </c>
      <c r="Y391" s="43">
        <f t="shared" si="106"/>
        <v>33.933884297520692</v>
      </c>
      <c r="Z391" s="43">
        <f t="shared" si="107"/>
        <v>169.66942148760333</v>
      </c>
      <c r="AA391" s="44" t="str">
        <f t="shared" si="108"/>
        <v>OK</v>
      </c>
    </row>
    <row r="392" spans="1:27" ht="15" customHeight="1" x14ac:dyDescent="0.25">
      <c r="A392" s="12" t="s">
        <v>63</v>
      </c>
      <c r="B392" s="40">
        <v>67</v>
      </c>
      <c r="C392" s="12" t="s">
        <v>675</v>
      </c>
      <c r="D392" s="40">
        <v>151.63999999999999</v>
      </c>
      <c r="E392" s="13">
        <f t="shared" si="94"/>
        <v>15.922199999999998</v>
      </c>
      <c r="F392" s="14"/>
      <c r="G392" s="15">
        <v>0.105</v>
      </c>
      <c r="H392" s="40">
        <v>0</v>
      </c>
      <c r="I392" s="40">
        <v>21.65</v>
      </c>
      <c r="J392" s="13">
        <f t="shared" si="95"/>
        <v>114.06779999999998</v>
      </c>
      <c r="K392" s="13"/>
      <c r="L392" s="15">
        <f t="shared" si="96"/>
        <v>0.08</v>
      </c>
      <c r="M392" s="13">
        <f t="shared" si="97"/>
        <v>12.1312</v>
      </c>
      <c r="N392" s="13">
        <f t="shared" si="98"/>
        <v>34.936599999999977</v>
      </c>
      <c r="O392" s="15">
        <f t="shared" si="99"/>
        <v>0.23039171722500645</v>
      </c>
      <c r="P392" s="16">
        <f t="shared" si="100"/>
        <v>144.14634146341464</v>
      </c>
      <c r="Q392" s="41">
        <f t="shared" si="101"/>
        <v>0.20000000000000007</v>
      </c>
      <c r="T392" s="42"/>
      <c r="U392" s="16">
        <f t="shared" si="102"/>
        <v>172.97560975609755</v>
      </c>
      <c r="V392" s="41">
        <f t="shared" si="103"/>
        <v>0.16666666666666663</v>
      </c>
      <c r="W392" s="17">
        <f t="shared" si="104"/>
        <v>0.30249999999999994</v>
      </c>
      <c r="X392" s="41">
        <f t="shared" si="105"/>
        <v>0.20000000000000007</v>
      </c>
      <c r="Y392" s="43">
        <f t="shared" si="106"/>
        <v>28.82926829268294</v>
      </c>
      <c r="Z392" s="43">
        <f t="shared" si="107"/>
        <v>144.14634146341464</v>
      </c>
      <c r="AA392" s="44" t="str">
        <f t="shared" si="108"/>
        <v>OK</v>
      </c>
    </row>
    <row r="393" spans="1:27" ht="15" customHeight="1" x14ac:dyDescent="0.25">
      <c r="A393" s="12" t="s">
        <v>63</v>
      </c>
      <c r="B393" s="40">
        <v>67</v>
      </c>
      <c r="C393" s="12" t="s">
        <v>676</v>
      </c>
      <c r="D393" s="40">
        <v>158.47999999999999</v>
      </c>
      <c r="E393" s="14"/>
      <c r="F393" s="13">
        <f>D393*G393</f>
        <v>21.3948</v>
      </c>
      <c r="G393" s="15">
        <v>0.13500000000000001</v>
      </c>
      <c r="H393" s="40">
        <v>0</v>
      </c>
      <c r="I393" s="40">
        <v>21.65</v>
      </c>
      <c r="J393" s="13">
        <f t="shared" si="95"/>
        <v>115.43519999999998</v>
      </c>
      <c r="K393" s="13"/>
      <c r="L393" s="15">
        <f t="shared" si="96"/>
        <v>0.08</v>
      </c>
      <c r="M393" s="13">
        <f t="shared" si="97"/>
        <v>12.6784</v>
      </c>
      <c r="N393" s="13">
        <f t="shared" si="98"/>
        <v>35.756799999999984</v>
      </c>
      <c r="O393" s="15">
        <f t="shared" si="99"/>
        <v>0.22562342251388179</v>
      </c>
      <c r="P393" s="16">
        <f t="shared" si="100"/>
        <v>151.53846153846155</v>
      </c>
      <c r="Q393" s="41">
        <f t="shared" si="101"/>
        <v>0.20000000000000007</v>
      </c>
      <c r="T393" s="42"/>
      <c r="U393" s="16">
        <f t="shared" si="102"/>
        <v>181.84615384615384</v>
      </c>
      <c r="V393" s="41">
        <f t="shared" si="103"/>
        <v>0.16666666666666663</v>
      </c>
      <c r="W393" s="17">
        <f t="shared" si="104"/>
        <v>0.29749999999999993</v>
      </c>
      <c r="X393" s="41">
        <f t="shared" si="105"/>
        <v>0.20000000000000007</v>
      </c>
      <c r="Y393" s="43">
        <f t="shared" si="106"/>
        <v>30.307692307692321</v>
      </c>
      <c r="Z393" s="43">
        <f t="shared" si="107"/>
        <v>151.53846153846155</v>
      </c>
      <c r="AA393" s="44" t="str">
        <f t="shared" si="108"/>
        <v>OK</v>
      </c>
    </row>
    <row r="394" spans="1:27" ht="15" customHeight="1" x14ac:dyDescent="0.25">
      <c r="A394" s="12" t="s">
        <v>122</v>
      </c>
      <c r="B394" s="40">
        <v>22.78</v>
      </c>
      <c r="C394" s="12" t="s">
        <v>677</v>
      </c>
      <c r="D394" s="40">
        <v>52.98</v>
      </c>
      <c r="E394" s="13">
        <f t="shared" ref="E394:E425" si="109">D394*G394</f>
        <v>6.0926999999999998</v>
      </c>
      <c r="F394" s="14"/>
      <c r="G394" s="15">
        <v>0.115</v>
      </c>
      <c r="H394" s="40">
        <v>8.5500000000000007</v>
      </c>
      <c r="I394" s="40">
        <v>0</v>
      </c>
      <c r="J394" s="13">
        <f t="shared" si="95"/>
        <v>38.337299999999999</v>
      </c>
      <c r="K394" s="13"/>
      <c r="L394" s="15">
        <f t="shared" si="96"/>
        <v>0.08</v>
      </c>
      <c r="M394" s="13">
        <f t="shared" si="97"/>
        <v>4.2383999999999995</v>
      </c>
      <c r="N394" s="13">
        <f t="shared" si="98"/>
        <v>11.318899999999999</v>
      </c>
      <c r="O394" s="15">
        <f t="shared" si="99"/>
        <v>0.21364477161192902</v>
      </c>
      <c r="P394" s="16">
        <f t="shared" si="100"/>
        <v>51.785123966942152</v>
      </c>
      <c r="Q394" s="41">
        <f t="shared" si="101"/>
        <v>0.19999999999999993</v>
      </c>
      <c r="T394" s="42"/>
      <c r="U394" s="16">
        <f t="shared" si="102"/>
        <v>62.142148760330578</v>
      </c>
      <c r="V394" s="41">
        <f t="shared" si="103"/>
        <v>0.16666666666666663</v>
      </c>
      <c r="W394" s="17">
        <f t="shared" si="104"/>
        <v>0.30083333333333317</v>
      </c>
      <c r="X394" s="41">
        <f t="shared" si="105"/>
        <v>0.19999999999999993</v>
      </c>
      <c r="Y394" s="43">
        <f t="shared" si="106"/>
        <v>10.357024793388426</v>
      </c>
      <c r="Z394" s="43">
        <f t="shared" si="107"/>
        <v>51.785123966942152</v>
      </c>
      <c r="AA394" s="44" t="str">
        <f t="shared" si="108"/>
        <v>OK</v>
      </c>
    </row>
    <row r="395" spans="1:27" ht="15" customHeight="1" x14ac:dyDescent="0.25">
      <c r="A395" s="12" t="s">
        <v>133</v>
      </c>
      <c r="B395" s="40">
        <v>8.26</v>
      </c>
      <c r="C395" s="12" t="s">
        <v>678</v>
      </c>
      <c r="D395" s="40">
        <v>26.99</v>
      </c>
      <c r="E395" s="13">
        <f t="shared" si="109"/>
        <v>3.10385</v>
      </c>
      <c r="F395" s="14"/>
      <c r="G395" s="15">
        <v>0.115</v>
      </c>
      <c r="H395" s="40">
        <v>6.75</v>
      </c>
      <c r="I395" s="40">
        <v>0</v>
      </c>
      <c r="J395" s="13">
        <f t="shared" si="95"/>
        <v>17.136149999999997</v>
      </c>
      <c r="K395" s="13"/>
      <c r="L395" s="15">
        <f t="shared" si="96"/>
        <v>0.08</v>
      </c>
      <c r="M395" s="13">
        <f t="shared" si="97"/>
        <v>2.1591999999999998</v>
      </c>
      <c r="N395" s="13">
        <f t="shared" si="98"/>
        <v>6.7169499999999971</v>
      </c>
      <c r="O395" s="15">
        <f t="shared" si="99"/>
        <v>0.24886809929603548</v>
      </c>
      <c r="P395" s="16">
        <f t="shared" si="100"/>
        <v>24.809917355371901</v>
      </c>
      <c r="Q395" s="41">
        <f t="shared" si="101"/>
        <v>0.19999999999999998</v>
      </c>
      <c r="T395" s="42"/>
      <c r="U395" s="16">
        <f t="shared" si="102"/>
        <v>29.771900826446281</v>
      </c>
      <c r="V395" s="41">
        <f t="shared" si="103"/>
        <v>0.16666666666666663</v>
      </c>
      <c r="W395" s="17">
        <f t="shared" si="104"/>
        <v>0.30083333333333329</v>
      </c>
      <c r="X395" s="41">
        <f t="shared" si="105"/>
        <v>0.19999999999999998</v>
      </c>
      <c r="Y395" s="43">
        <f t="shared" si="106"/>
        <v>4.9619834710743795</v>
      </c>
      <c r="Z395" s="43">
        <f t="shared" si="107"/>
        <v>24.809917355371901</v>
      </c>
      <c r="AA395" s="44" t="str">
        <f t="shared" si="108"/>
        <v>OK</v>
      </c>
    </row>
    <row r="396" spans="1:27" ht="15" customHeight="1" x14ac:dyDescent="0.25">
      <c r="A396" s="12" t="s">
        <v>268</v>
      </c>
      <c r="B396" s="40">
        <v>16.95</v>
      </c>
      <c r="C396" s="12" t="s">
        <v>679</v>
      </c>
      <c r="D396" s="40">
        <v>37.9</v>
      </c>
      <c r="E396" s="13">
        <f t="shared" si="109"/>
        <v>4.3585000000000003</v>
      </c>
      <c r="F396" s="14"/>
      <c r="G396" s="15">
        <v>0.115</v>
      </c>
      <c r="H396" s="40">
        <v>8.5500000000000007</v>
      </c>
      <c r="I396" s="40">
        <v>0</v>
      </c>
      <c r="J396" s="13">
        <f t="shared" si="95"/>
        <v>24.991499999999998</v>
      </c>
      <c r="K396" s="13"/>
      <c r="L396" s="15">
        <f t="shared" si="96"/>
        <v>0.08</v>
      </c>
      <c r="M396" s="13">
        <f t="shared" si="97"/>
        <v>3.032</v>
      </c>
      <c r="N396" s="13">
        <f t="shared" si="98"/>
        <v>5.0094999999999992</v>
      </c>
      <c r="O396" s="15">
        <f t="shared" si="99"/>
        <v>0.13217678100263849</v>
      </c>
      <c r="P396" s="16">
        <f t="shared" si="100"/>
        <v>42.148760330578511</v>
      </c>
      <c r="Q396" s="41">
        <f t="shared" si="101"/>
        <v>0.19999999999999996</v>
      </c>
      <c r="T396" s="42"/>
      <c r="U396" s="16">
        <f t="shared" si="102"/>
        <v>50.578512396694215</v>
      </c>
      <c r="V396" s="41">
        <f t="shared" si="103"/>
        <v>0.16666666666666674</v>
      </c>
      <c r="W396" s="17">
        <f t="shared" si="104"/>
        <v>0.30083333333333329</v>
      </c>
      <c r="X396" s="41">
        <f t="shared" si="105"/>
        <v>0.19999999999999996</v>
      </c>
      <c r="Y396" s="43">
        <f t="shared" si="106"/>
        <v>8.4297520661157002</v>
      </c>
      <c r="Z396" s="43">
        <f t="shared" si="107"/>
        <v>42.148760330578511</v>
      </c>
      <c r="AA396" s="44" t="str">
        <f t="shared" si="108"/>
        <v>OK</v>
      </c>
    </row>
    <row r="397" spans="1:27" ht="15" customHeight="1" x14ac:dyDescent="0.25">
      <c r="A397" s="12" t="s">
        <v>680</v>
      </c>
      <c r="B397" s="40">
        <v>3.83</v>
      </c>
      <c r="C397" s="12" t="s">
        <v>681</v>
      </c>
      <c r="D397" s="40">
        <v>16.989999999999998</v>
      </c>
      <c r="E397" s="13">
        <f t="shared" si="109"/>
        <v>2.0387999999999997</v>
      </c>
      <c r="F397" s="14"/>
      <c r="G397" s="15">
        <v>0.12</v>
      </c>
      <c r="H397" s="40">
        <v>6.75</v>
      </c>
      <c r="I397" s="40">
        <v>0</v>
      </c>
      <c r="J397" s="13">
        <f t="shared" si="95"/>
        <v>8.2011999999999983</v>
      </c>
      <c r="K397" s="13"/>
      <c r="L397" s="15">
        <f t="shared" si="96"/>
        <v>0.08</v>
      </c>
      <c r="M397" s="13">
        <f t="shared" si="97"/>
        <v>1.3592</v>
      </c>
      <c r="N397" s="13">
        <f t="shared" si="98"/>
        <v>3.0119999999999982</v>
      </c>
      <c r="O397" s="15">
        <f t="shared" si="99"/>
        <v>0.17728075338434365</v>
      </c>
      <c r="P397" s="16">
        <f t="shared" si="100"/>
        <v>17.633333333333329</v>
      </c>
      <c r="Q397" s="41">
        <f t="shared" si="101"/>
        <v>0.19999999999999987</v>
      </c>
      <c r="T397" s="42"/>
      <c r="U397" s="16">
        <f t="shared" si="102"/>
        <v>21.159999999999993</v>
      </c>
      <c r="V397" s="41">
        <f t="shared" si="103"/>
        <v>0.16666666666666663</v>
      </c>
      <c r="W397" s="17">
        <f t="shared" si="104"/>
        <v>0.29999999999999988</v>
      </c>
      <c r="X397" s="41">
        <f t="shared" si="105"/>
        <v>0.19999999999999987</v>
      </c>
      <c r="Y397" s="43">
        <f t="shared" si="106"/>
        <v>3.5266666666666637</v>
      </c>
      <c r="Z397" s="43">
        <f t="shared" si="107"/>
        <v>17.633333333333329</v>
      </c>
      <c r="AA397" s="44" t="str">
        <f t="shared" si="108"/>
        <v>OK</v>
      </c>
    </row>
    <row r="398" spans="1:27" ht="15" customHeight="1" x14ac:dyDescent="0.25">
      <c r="A398" s="12" t="s">
        <v>682</v>
      </c>
      <c r="B398" s="40">
        <v>19.48</v>
      </c>
      <c r="C398" s="12" t="s">
        <v>683</v>
      </c>
      <c r="D398" s="40">
        <v>42.9</v>
      </c>
      <c r="E398" s="13">
        <f t="shared" si="109"/>
        <v>4.9335000000000004</v>
      </c>
      <c r="F398" s="14"/>
      <c r="G398" s="15">
        <v>0.115</v>
      </c>
      <c r="H398" s="40">
        <v>6.65</v>
      </c>
      <c r="I398" s="40">
        <v>0</v>
      </c>
      <c r="J398" s="13">
        <f t="shared" si="95"/>
        <v>31.316499999999998</v>
      </c>
      <c r="K398" s="13"/>
      <c r="L398" s="15">
        <f t="shared" si="96"/>
        <v>0.08</v>
      </c>
      <c r="M398" s="13">
        <f t="shared" si="97"/>
        <v>3.4319999999999999</v>
      </c>
      <c r="N398" s="13">
        <f t="shared" si="98"/>
        <v>8.404499999999997</v>
      </c>
      <c r="O398" s="15">
        <f t="shared" si="99"/>
        <v>0.19590909090909084</v>
      </c>
      <c r="P398" s="16">
        <f t="shared" si="100"/>
        <v>43.190082644628106</v>
      </c>
      <c r="Q398" s="41">
        <f t="shared" si="101"/>
        <v>0.20000000000000018</v>
      </c>
      <c r="T398" s="42"/>
      <c r="U398" s="16">
        <f t="shared" si="102"/>
        <v>51.828099173553724</v>
      </c>
      <c r="V398" s="41">
        <f t="shared" si="103"/>
        <v>0.16666666666666663</v>
      </c>
      <c r="W398" s="17">
        <f t="shared" si="104"/>
        <v>0.30083333333333345</v>
      </c>
      <c r="X398" s="41">
        <f t="shared" si="105"/>
        <v>0.20000000000000018</v>
      </c>
      <c r="Y398" s="43">
        <f t="shared" si="106"/>
        <v>8.638016528925629</v>
      </c>
      <c r="Z398" s="43">
        <f t="shared" si="107"/>
        <v>43.190082644628106</v>
      </c>
      <c r="AA398" s="44" t="str">
        <f t="shared" si="108"/>
        <v>OK</v>
      </c>
    </row>
    <row r="399" spans="1:27" ht="15" customHeight="1" x14ac:dyDescent="0.25">
      <c r="A399" s="12" t="s">
        <v>684</v>
      </c>
      <c r="B399" s="40">
        <v>9.94</v>
      </c>
      <c r="C399" s="12" t="s">
        <v>685</v>
      </c>
      <c r="D399" s="40">
        <v>27.4</v>
      </c>
      <c r="E399" s="13">
        <f t="shared" si="109"/>
        <v>3.1509999999999998</v>
      </c>
      <c r="F399" s="14"/>
      <c r="G399" s="15">
        <v>0.115</v>
      </c>
      <c r="H399" s="40">
        <v>6.55</v>
      </c>
      <c r="I399" s="40">
        <v>0</v>
      </c>
      <c r="J399" s="13">
        <f t="shared" si="95"/>
        <v>17.698999999999998</v>
      </c>
      <c r="K399" s="13"/>
      <c r="L399" s="15">
        <f t="shared" si="96"/>
        <v>0.08</v>
      </c>
      <c r="M399" s="13">
        <f t="shared" si="97"/>
        <v>2.1919999999999997</v>
      </c>
      <c r="N399" s="13">
        <f t="shared" si="98"/>
        <v>5.5669999999999984</v>
      </c>
      <c r="O399" s="15">
        <f t="shared" si="99"/>
        <v>0.20317518248175179</v>
      </c>
      <c r="P399" s="16">
        <f t="shared" si="100"/>
        <v>27.256198347107436</v>
      </c>
      <c r="Q399" s="41">
        <f t="shared" si="101"/>
        <v>0.1999999999999999</v>
      </c>
      <c r="T399" s="42"/>
      <c r="U399" s="16">
        <f t="shared" si="102"/>
        <v>32.707438016528918</v>
      </c>
      <c r="V399" s="41">
        <f t="shared" si="103"/>
        <v>0.16666666666666652</v>
      </c>
      <c r="W399" s="17">
        <f t="shared" si="104"/>
        <v>0.30083333333333323</v>
      </c>
      <c r="X399" s="41">
        <f t="shared" si="105"/>
        <v>0.1999999999999999</v>
      </c>
      <c r="Y399" s="43">
        <f t="shared" si="106"/>
        <v>5.4512396694214846</v>
      </c>
      <c r="Z399" s="43">
        <f t="shared" si="107"/>
        <v>27.256198347107436</v>
      </c>
      <c r="AA399" s="44" t="str">
        <f t="shared" si="108"/>
        <v>OK</v>
      </c>
    </row>
    <row r="400" spans="1:27" ht="15" customHeight="1" x14ac:dyDescent="0.25">
      <c r="A400" s="12" t="s">
        <v>686</v>
      </c>
      <c r="B400" s="40">
        <v>7.36</v>
      </c>
      <c r="C400" s="12" t="s">
        <v>687</v>
      </c>
      <c r="D400" s="40">
        <v>22.9</v>
      </c>
      <c r="E400" s="13">
        <f t="shared" si="109"/>
        <v>2.7479999999999998</v>
      </c>
      <c r="F400" s="14"/>
      <c r="G400" s="15">
        <v>0.12</v>
      </c>
      <c r="H400" s="40">
        <v>6.55</v>
      </c>
      <c r="I400" s="40">
        <v>0</v>
      </c>
      <c r="J400" s="13">
        <f t="shared" si="95"/>
        <v>13.601999999999997</v>
      </c>
      <c r="K400" s="13"/>
      <c r="L400" s="15">
        <f t="shared" si="96"/>
        <v>0.08</v>
      </c>
      <c r="M400" s="13">
        <f t="shared" si="97"/>
        <v>1.8319999999999999</v>
      </c>
      <c r="N400" s="13">
        <f t="shared" si="98"/>
        <v>4.4099999999999966</v>
      </c>
      <c r="O400" s="15">
        <f t="shared" si="99"/>
        <v>0.19257641921397367</v>
      </c>
      <c r="P400" s="16">
        <f t="shared" si="100"/>
        <v>23.18333333333333</v>
      </c>
      <c r="Q400" s="41">
        <f t="shared" si="101"/>
        <v>0.19999999999999984</v>
      </c>
      <c r="T400" s="42"/>
      <c r="U400" s="16">
        <f t="shared" si="102"/>
        <v>27.819999999999997</v>
      </c>
      <c r="V400" s="41">
        <f t="shared" si="103"/>
        <v>0.16666666666666674</v>
      </c>
      <c r="W400" s="17">
        <f t="shared" si="104"/>
        <v>0.29999999999999993</v>
      </c>
      <c r="X400" s="41">
        <f t="shared" si="105"/>
        <v>0.19999999999999984</v>
      </c>
      <c r="Y400" s="43">
        <f t="shared" si="106"/>
        <v>4.6366666666666623</v>
      </c>
      <c r="Z400" s="43">
        <f t="shared" si="107"/>
        <v>23.18333333333333</v>
      </c>
      <c r="AA400" s="44" t="str">
        <f t="shared" si="108"/>
        <v>OK</v>
      </c>
    </row>
    <row r="401" spans="1:27" ht="15" customHeight="1" x14ac:dyDescent="0.25">
      <c r="A401" s="12" t="s">
        <v>688</v>
      </c>
      <c r="B401" s="40">
        <v>6.34</v>
      </c>
      <c r="C401" s="12" t="s">
        <v>689</v>
      </c>
      <c r="D401" s="40">
        <v>20.9</v>
      </c>
      <c r="E401" s="13">
        <f t="shared" si="109"/>
        <v>2.7170000000000001</v>
      </c>
      <c r="F401" s="14"/>
      <c r="G401" s="15">
        <v>0.13</v>
      </c>
      <c r="H401" s="40">
        <v>6.55</v>
      </c>
      <c r="I401" s="40">
        <v>0</v>
      </c>
      <c r="J401" s="13">
        <f t="shared" si="95"/>
        <v>11.632999999999999</v>
      </c>
      <c r="K401" s="13"/>
      <c r="L401" s="15">
        <f t="shared" si="96"/>
        <v>0.08</v>
      </c>
      <c r="M401" s="13">
        <f t="shared" si="97"/>
        <v>1.6719999999999999</v>
      </c>
      <c r="N401" s="13">
        <f t="shared" si="98"/>
        <v>3.6209999999999996</v>
      </c>
      <c r="O401" s="15">
        <f t="shared" si="99"/>
        <v>0.17325358851674641</v>
      </c>
      <c r="P401" s="16">
        <f t="shared" si="100"/>
        <v>21.847457627118644</v>
      </c>
      <c r="Q401" s="41">
        <f t="shared" si="101"/>
        <v>0.20000000000000004</v>
      </c>
      <c r="T401" s="42"/>
      <c r="U401" s="16">
        <f t="shared" si="102"/>
        <v>26.216949152542373</v>
      </c>
      <c r="V401" s="41">
        <f t="shared" si="103"/>
        <v>0.16666666666666674</v>
      </c>
      <c r="W401" s="17">
        <f t="shared" si="104"/>
        <v>0.29833333333333334</v>
      </c>
      <c r="X401" s="41">
        <f t="shared" si="105"/>
        <v>0.20000000000000004</v>
      </c>
      <c r="Y401" s="43">
        <f t="shared" si="106"/>
        <v>4.3694915254237294</v>
      </c>
      <c r="Z401" s="43">
        <f t="shared" si="107"/>
        <v>21.847457627118644</v>
      </c>
      <c r="AA401" s="44" t="str">
        <f t="shared" si="108"/>
        <v>OK</v>
      </c>
    </row>
    <row r="402" spans="1:27" ht="15" customHeight="1" x14ac:dyDescent="0.25">
      <c r="A402" s="12" t="s">
        <v>690</v>
      </c>
      <c r="B402" s="40">
        <v>12.43</v>
      </c>
      <c r="C402" s="12" t="s">
        <v>691</v>
      </c>
      <c r="D402" s="40">
        <v>31.9</v>
      </c>
      <c r="E402" s="13">
        <f t="shared" si="109"/>
        <v>4.1470000000000002</v>
      </c>
      <c r="F402" s="14"/>
      <c r="G402" s="15">
        <v>0.13</v>
      </c>
      <c r="H402" s="40">
        <v>6.65</v>
      </c>
      <c r="I402" s="40">
        <v>0</v>
      </c>
      <c r="J402" s="13">
        <f t="shared" si="95"/>
        <v>21.103000000000002</v>
      </c>
      <c r="K402" s="13"/>
      <c r="L402" s="15">
        <f t="shared" si="96"/>
        <v>0.08</v>
      </c>
      <c r="M402" s="13">
        <f t="shared" si="97"/>
        <v>2.552</v>
      </c>
      <c r="N402" s="13">
        <f t="shared" si="98"/>
        <v>6.1210000000000022</v>
      </c>
      <c r="O402" s="15">
        <f t="shared" si="99"/>
        <v>0.19188087774294679</v>
      </c>
      <c r="P402" s="16">
        <f t="shared" si="100"/>
        <v>32.338983050847453</v>
      </c>
      <c r="Q402" s="41">
        <f t="shared" si="101"/>
        <v>0.19999999999999998</v>
      </c>
      <c r="T402" s="42"/>
      <c r="U402" s="16">
        <f t="shared" si="102"/>
        <v>38.80677966101694</v>
      </c>
      <c r="V402" s="41">
        <f t="shared" si="103"/>
        <v>0.16666666666666663</v>
      </c>
      <c r="W402" s="17">
        <f t="shared" si="104"/>
        <v>0.29833333333333323</v>
      </c>
      <c r="X402" s="41">
        <f t="shared" si="105"/>
        <v>0.19999999999999998</v>
      </c>
      <c r="Y402" s="43">
        <f t="shared" si="106"/>
        <v>6.4677966101694899</v>
      </c>
      <c r="Z402" s="43">
        <f t="shared" si="107"/>
        <v>32.338983050847453</v>
      </c>
      <c r="AA402" s="44" t="str">
        <f t="shared" si="108"/>
        <v>OK</v>
      </c>
    </row>
    <row r="403" spans="1:27" ht="15" customHeight="1" x14ac:dyDescent="0.25">
      <c r="A403" s="12" t="s">
        <v>692</v>
      </c>
      <c r="B403" s="40">
        <v>6.06</v>
      </c>
      <c r="C403" s="12" t="s">
        <v>693</v>
      </c>
      <c r="D403" s="40">
        <v>21.5</v>
      </c>
      <c r="E403" s="13">
        <f t="shared" si="109"/>
        <v>2.4725000000000001</v>
      </c>
      <c r="F403" s="14"/>
      <c r="G403" s="15">
        <v>0.115</v>
      </c>
      <c r="H403" s="40">
        <v>6.55</v>
      </c>
      <c r="I403" s="40">
        <v>0</v>
      </c>
      <c r="J403" s="13">
        <f t="shared" si="95"/>
        <v>12.477499999999999</v>
      </c>
      <c r="K403" s="13"/>
      <c r="L403" s="15">
        <f t="shared" si="96"/>
        <v>0.08</v>
      </c>
      <c r="M403" s="13">
        <f t="shared" si="97"/>
        <v>1.72</v>
      </c>
      <c r="N403" s="13">
        <f t="shared" si="98"/>
        <v>4.6974999999999998</v>
      </c>
      <c r="O403" s="15">
        <f t="shared" si="99"/>
        <v>0.21848837209302324</v>
      </c>
      <c r="P403" s="16">
        <f t="shared" si="100"/>
        <v>20.84297520661157</v>
      </c>
      <c r="Q403" s="41">
        <f t="shared" si="101"/>
        <v>0.1999999999999999</v>
      </c>
      <c r="T403" s="42"/>
      <c r="U403" s="16">
        <f t="shared" si="102"/>
        <v>25.011570247933882</v>
      </c>
      <c r="V403" s="41">
        <f t="shared" si="103"/>
        <v>0.16666666666666663</v>
      </c>
      <c r="W403" s="17">
        <f t="shared" si="104"/>
        <v>0.30083333333333334</v>
      </c>
      <c r="X403" s="41">
        <f t="shared" si="105"/>
        <v>0.1999999999999999</v>
      </c>
      <c r="Y403" s="43">
        <f t="shared" si="106"/>
        <v>4.1685950413223116</v>
      </c>
      <c r="Z403" s="43">
        <f t="shared" si="107"/>
        <v>20.84297520661157</v>
      </c>
      <c r="AA403" s="44" t="str">
        <f t="shared" si="108"/>
        <v>OK</v>
      </c>
    </row>
    <row r="404" spans="1:27" ht="15" customHeight="1" x14ac:dyDescent="0.25">
      <c r="A404" s="12" t="s">
        <v>694</v>
      </c>
      <c r="B404" s="40">
        <v>18.52</v>
      </c>
      <c r="C404" s="12" t="s">
        <v>695</v>
      </c>
      <c r="D404" s="40">
        <v>44.99</v>
      </c>
      <c r="E404" s="13">
        <f t="shared" si="109"/>
        <v>5.8487000000000009</v>
      </c>
      <c r="F404" s="14"/>
      <c r="G404" s="15">
        <v>0.13</v>
      </c>
      <c r="H404" s="40">
        <v>8.5500000000000007</v>
      </c>
      <c r="I404" s="40">
        <v>0</v>
      </c>
      <c r="J404" s="13">
        <f t="shared" si="95"/>
        <v>30.5913</v>
      </c>
      <c r="K404" s="13"/>
      <c r="L404" s="15">
        <f t="shared" si="96"/>
        <v>0.08</v>
      </c>
      <c r="M404" s="13">
        <f t="shared" si="97"/>
        <v>3.5992000000000002</v>
      </c>
      <c r="N404" s="13">
        <f t="shared" si="98"/>
        <v>8.4721000000000011</v>
      </c>
      <c r="O404" s="15">
        <f t="shared" si="99"/>
        <v>0.18831073571904869</v>
      </c>
      <c r="P404" s="16">
        <f t="shared" si="100"/>
        <v>45.881355932203384</v>
      </c>
      <c r="Q404" s="41">
        <f t="shared" si="101"/>
        <v>0.19999999999999998</v>
      </c>
      <c r="T404" s="42"/>
      <c r="U404" s="16">
        <f t="shared" si="102"/>
        <v>55.057627118644056</v>
      </c>
      <c r="V404" s="41">
        <f t="shared" si="103"/>
        <v>0.16666666666666663</v>
      </c>
      <c r="W404" s="17">
        <f t="shared" si="104"/>
        <v>0.29833333333333323</v>
      </c>
      <c r="X404" s="41">
        <f t="shared" si="105"/>
        <v>0.19999999999999998</v>
      </c>
      <c r="Y404" s="43">
        <f t="shared" si="106"/>
        <v>9.1762711864406761</v>
      </c>
      <c r="Z404" s="43">
        <f t="shared" si="107"/>
        <v>45.881355932203384</v>
      </c>
      <c r="AA404" s="44" t="str">
        <f t="shared" si="108"/>
        <v>OK</v>
      </c>
    </row>
    <row r="405" spans="1:27" ht="15" customHeight="1" x14ac:dyDescent="0.25">
      <c r="A405" s="12" t="s">
        <v>696</v>
      </c>
      <c r="B405" s="40">
        <v>2.2799999999999998</v>
      </c>
      <c r="C405" s="12" t="s">
        <v>697</v>
      </c>
      <c r="D405" s="40">
        <v>14.99</v>
      </c>
      <c r="E405" s="13">
        <f t="shared" si="109"/>
        <v>1.9487000000000001</v>
      </c>
      <c r="F405" s="14"/>
      <c r="G405" s="15">
        <v>0.13</v>
      </c>
      <c r="H405" s="40">
        <v>8.5500000000000007</v>
      </c>
      <c r="I405" s="40">
        <v>0</v>
      </c>
      <c r="J405" s="13">
        <f t="shared" si="95"/>
        <v>4.491299999999999</v>
      </c>
      <c r="K405" s="13"/>
      <c r="L405" s="15">
        <f t="shared" si="96"/>
        <v>0.08</v>
      </c>
      <c r="M405" s="13">
        <f t="shared" si="97"/>
        <v>1.1992</v>
      </c>
      <c r="N405" s="13">
        <f t="shared" si="98"/>
        <v>1.0120999999999991</v>
      </c>
      <c r="O405" s="15">
        <f t="shared" si="99"/>
        <v>6.7518345563709073E-2</v>
      </c>
      <c r="P405" s="16">
        <f t="shared" si="100"/>
        <v>18.355932203389827</v>
      </c>
      <c r="Q405" s="41">
        <f t="shared" si="101"/>
        <v>0.1999999999999999</v>
      </c>
      <c r="T405" s="42"/>
      <c r="U405" s="16">
        <f t="shared" si="102"/>
        <v>22.027118644067791</v>
      </c>
      <c r="V405" s="41">
        <f t="shared" si="103"/>
        <v>0.16666666666666663</v>
      </c>
      <c r="W405" s="17">
        <f t="shared" si="104"/>
        <v>0.29833333333333317</v>
      </c>
      <c r="X405" s="41">
        <f t="shared" si="105"/>
        <v>0.1999999999999999</v>
      </c>
      <c r="Y405" s="43">
        <f t="shared" si="106"/>
        <v>3.6711864406779635</v>
      </c>
      <c r="Z405" s="43">
        <f t="shared" si="107"/>
        <v>18.355932203389827</v>
      </c>
      <c r="AA405" s="44" t="str">
        <f t="shared" si="108"/>
        <v>OK</v>
      </c>
    </row>
    <row r="406" spans="1:27" ht="15" customHeight="1" x14ac:dyDescent="0.25">
      <c r="A406" s="12" t="s">
        <v>698</v>
      </c>
      <c r="B406" s="40">
        <v>3.18</v>
      </c>
      <c r="C406" s="12" t="s">
        <v>699</v>
      </c>
      <c r="D406" s="40">
        <v>16.5</v>
      </c>
      <c r="E406" s="13">
        <f t="shared" si="109"/>
        <v>1.8975000000000002</v>
      </c>
      <c r="F406" s="14"/>
      <c r="G406" s="15">
        <v>0.115</v>
      </c>
      <c r="H406" s="40">
        <v>6.75</v>
      </c>
      <c r="I406" s="40">
        <v>0</v>
      </c>
      <c r="J406" s="13">
        <f t="shared" si="95"/>
        <v>7.8524999999999991</v>
      </c>
      <c r="K406" s="13"/>
      <c r="L406" s="15">
        <f t="shared" si="96"/>
        <v>0.08</v>
      </c>
      <c r="M406" s="13">
        <f t="shared" si="97"/>
        <v>1.32</v>
      </c>
      <c r="N406" s="13">
        <f t="shared" si="98"/>
        <v>3.3524999999999991</v>
      </c>
      <c r="O406" s="15">
        <f t="shared" si="99"/>
        <v>0.20318181818181813</v>
      </c>
      <c r="P406" s="16">
        <f t="shared" si="100"/>
        <v>16.41322314049587</v>
      </c>
      <c r="Q406" s="41">
        <f t="shared" si="101"/>
        <v>0.20000000000000009</v>
      </c>
      <c r="T406" s="42"/>
      <c r="U406" s="16">
        <f t="shared" si="102"/>
        <v>19.695867768595043</v>
      </c>
      <c r="V406" s="41">
        <f t="shared" si="103"/>
        <v>0.16666666666666663</v>
      </c>
      <c r="W406" s="17">
        <f t="shared" si="104"/>
        <v>0.30083333333333334</v>
      </c>
      <c r="X406" s="41">
        <f t="shared" si="105"/>
        <v>0.20000000000000009</v>
      </c>
      <c r="Y406" s="43">
        <f t="shared" si="106"/>
        <v>3.2826446280991752</v>
      </c>
      <c r="Z406" s="43">
        <f t="shared" si="107"/>
        <v>16.41322314049587</v>
      </c>
      <c r="AA406" s="44" t="str">
        <f t="shared" si="108"/>
        <v>OK</v>
      </c>
    </row>
    <row r="407" spans="1:27" ht="15" customHeight="1" x14ac:dyDescent="0.25">
      <c r="A407" s="12" t="s">
        <v>700</v>
      </c>
      <c r="B407" s="40">
        <v>10.64</v>
      </c>
      <c r="C407" s="12" t="s">
        <v>701</v>
      </c>
      <c r="D407" s="40">
        <v>31.99</v>
      </c>
      <c r="E407" s="13">
        <f t="shared" si="109"/>
        <v>3.6788500000000002</v>
      </c>
      <c r="F407" s="14"/>
      <c r="G407" s="15">
        <v>0.115</v>
      </c>
      <c r="H407" s="40">
        <v>6.55</v>
      </c>
      <c r="I407" s="40">
        <v>0</v>
      </c>
      <c r="J407" s="13">
        <f t="shared" si="95"/>
        <v>21.761149999999997</v>
      </c>
      <c r="K407" s="13"/>
      <c r="L407" s="15">
        <f t="shared" si="96"/>
        <v>0.08</v>
      </c>
      <c r="M407" s="13">
        <f t="shared" si="97"/>
        <v>2.5592000000000001</v>
      </c>
      <c r="N407" s="13">
        <f t="shared" si="98"/>
        <v>8.561949999999996</v>
      </c>
      <c r="O407" s="15">
        <f t="shared" si="99"/>
        <v>0.26764457643013428</v>
      </c>
      <c r="P407" s="16">
        <f t="shared" si="100"/>
        <v>28.41322314049587</v>
      </c>
      <c r="Q407" s="41">
        <f t="shared" si="101"/>
        <v>0.19999999999999996</v>
      </c>
      <c r="T407" s="42"/>
      <c r="U407" s="16">
        <f t="shared" si="102"/>
        <v>34.095867768595042</v>
      </c>
      <c r="V407" s="41">
        <f t="shared" si="103"/>
        <v>0.16666666666666663</v>
      </c>
      <c r="W407" s="17">
        <f t="shared" si="104"/>
        <v>0.30083333333333329</v>
      </c>
      <c r="X407" s="41">
        <f t="shared" si="105"/>
        <v>0.19999999999999996</v>
      </c>
      <c r="Y407" s="43">
        <f t="shared" si="106"/>
        <v>5.6826446280991725</v>
      </c>
      <c r="Z407" s="43">
        <f t="shared" si="107"/>
        <v>28.41322314049587</v>
      </c>
      <c r="AA407" s="44" t="str">
        <f t="shared" si="108"/>
        <v>OK</v>
      </c>
    </row>
    <row r="408" spans="1:27" ht="15" customHeight="1" x14ac:dyDescent="0.25">
      <c r="A408" s="12" t="s">
        <v>702</v>
      </c>
      <c r="B408" s="40">
        <v>9.1999999999999993</v>
      </c>
      <c r="C408" s="12" t="s">
        <v>703</v>
      </c>
      <c r="D408" s="40">
        <v>25.9</v>
      </c>
      <c r="E408" s="13">
        <f t="shared" si="109"/>
        <v>2.9784999999999999</v>
      </c>
      <c r="F408" s="14"/>
      <c r="G408" s="15">
        <v>0.115</v>
      </c>
      <c r="H408" s="40">
        <v>6.75</v>
      </c>
      <c r="I408" s="40">
        <v>0</v>
      </c>
      <c r="J408" s="13">
        <f t="shared" si="95"/>
        <v>16.171499999999998</v>
      </c>
      <c r="K408" s="13"/>
      <c r="L408" s="15">
        <f t="shared" si="96"/>
        <v>0.08</v>
      </c>
      <c r="M408" s="13">
        <f t="shared" si="97"/>
        <v>2.0720000000000001</v>
      </c>
      <c r="N408" s="13">
        <f t="shared" si="98"/>
        <v>4.8994999999999989</v>
      </c>
      <c r="O408" s="15">
        <f t="shared" si="99"/>
        <v>0.18916988416988414</v>
      </c>
      <c r="P408" s="16">
        <f t="shared" si="100"/>
        <v>26.363636363636363</v>
      </c>
      <c r="Q408" s="41">
        <f t="shared" si="101"/>
        <v>0.20000000000000004</v>
      </c>
      <c r="T408" s="42"/>
      <c r="U408" s="16">
        <f t="shared" si="102"/>
        <v>31.636363636363633</v>
      </c>
      <c r="V408" s="41">
        <f t="shared" si="103"/>
        <v>0.16666666666666663</v>
      </c>
      <c r="W408" s="17">
        <f t="shared" si="104"/>
        <v>0.30083333333333334</v>
      </c>
      <c r="X408" s="41">
        <f t="shared" si="105"/>
        <v>0.20000000000000004</v>
      </c>
      <c r="Y408" s="43">
        <f t="shared" si="106"/>
        <v>5.2727272727272734</v>
      </c>
      <c r="Z408" s="43">
        <f t="shared" si="107"/>
        <v>26.363636363636363</v>
      </c>
      <c r="AA408" s="44" t="str">
        <f t="shared" si="108"/>
        <v>OK</v>
      </c>
    </row>
    <row r="409" spans="1:27" ht="15" customHeight="1" x14ac:dyDescent="0.25">
      <c r="A409" s="12" t="s">
        <v>704</v>
      </c>
      <c r="B409" s="40">
        <v>5.23</v>
      </c>
      <c r="C409" s="12" t="s">
        <v>705</v>
      </c>
      <c r="D409" s="40">
        <v>22.4</v>
      </c>
      <c r="E409" s="13">
        <f t="shared" si="109"/>
        <v>2.5760000000000001</v>
      </c>
      <c r="F409" s="14"/>
      <c r="G409" s="15">
        <v>0.115</v>
      </c>
      <c r="H409" s="40">
        <v>8.5500000000000007</v>
      </c>
      <c r="I409" s="40">
        <v>0</v>
      </c>
      <c r="J409" s="13">
        <f t="shared" si="95"/>
        <v>11.273999999999997</v>
      </c>
      <c r="K409" s="13"/>
      <c r="L409" s="15">
        <f t="shared" si="96"/>
        <v>0.08</v>
      </c>
      <c r="M409" s="13">
        <f t="shared" si="97"/>
        <v>1.7919999999999998</v>
      </c>
      <c r="N409" s="13">
        <f t="shared" si="98"/>
        <v>4.2519999999999971</v>
      </c>
      <c r="O409" s="15">
        <f t="shared" si="99"/>
        <v>0.18982142857142845</v>
      </c>
      <c r="P409" s="16">
        <f t="shared" si="100"/>
        <v>22.776859504132233</v>
      </c>
      <c r="Q409" s="41">
        <f t="shared" si="101"/>
        <v>0.19999999999999996</v>
      </c>
      <c r="T409" s="42"/>
      <c r="U409" s="16">
        <f t="shared" si="102"/>
        <v>27.33223140495868</v>
      </c>
      <c r="V409" s="41">
        <f t="shared" si="103"/>
        <v>0.16666666666666674</v>
      </c>
      <c r="W409" s="17">
        <f t="shared" si="104"/>
        <v>0.30083333333333329</v>
      </c>
      <c r="X409" s="41">
        <f t="shared" si="105"/>
        <v>0.19999999999999996</v>
      </c>
      <c r="Y409" s="43">
        <f t="shared" si="106"/>
        <v>4.5553719008264455</v>
      </c>
      <c r="Z409" s="43">
        <f t="shared" si="107"/>
        <v>22.776859504132233</v>
      </c>
      <c r="AA409" s="44" t="str">
        <f t="shared" si="108"/>
        <v>OK</v>
      </c>
    </row>
    <row r="410" spans="1:27" ht="15" customHeight="1" x14ac:dyDescent="0.25">
      <c r="A410" s="12" t="s">
        <v>706</v>
      </c>
      <c r="B410" s="40">
        <v>4.75</v>
      </c>
      <c r="C410" s="12" t="s">
        <v>707</v>
      </c>
      <c r="D410" s="40">
        <v>18.899999999999999</v>
      </c>
      <c r="E410" s="13">
        <f t="shared" si="109"/>
        <v>2.1734999999999998</v>
      </c>
      <c r="F410" s="14"/>
      <c r="G410" s="15">
        <v>0.115</v>
      </c>
      <c r="H410" s="40">
        <v>8.5500000000000007</v>
      </c>
      <c r="I410" s="40">
        <v>0</v>
      </c>
      <c r="J410" s="13">
        <f t="shared" si="95"/>
        <v>8.1764999999999972</v>
      </c>
      <c r="K410" s="13"/>
      <c r="L410" s="15">
        <f t="shared" si="96"/>
        <v>0.08</v>
      </c>
      <c r="M410" s="13">
        <f t="shared" si="97"/>
        <v>1.512</v>
      </c>
      <c r="N410" s="13">
        <f t="shared" si="98"/>
        <v>1.9144999999999972</v>
      </c>
      <c r="O410" s="15">
        <f t="shared" si="99"/>
        <v>0.10129629629629616</v>
      </c>
      <c r="P410" s="16">
        <f t="shared" si="100"/>
        <v>21.983471074380166</v>
      </c>
      <c r="Q410" s="41">
        <f t="shared" si="101"/>
        <v>0.19999999999999993</v>
      </c>
      <c r="T410" s="42"/>
      <c r="U410" s="16">
        <f t="shared" si="102"/>
        <v>26.380165289256198</v>
      </c>
      <c r="V410" s="41">
        <f t="shared" si="103"/>
        <v>0.16666666666666663</v>
      </c>
      <c r="W410" s="17">
        <f t="shared" si="104"/>
        <v>0.30083333333333329</v>
      </c>
      <c r="X410" s="41">
        <f t="shared" si="105"/>
        <v>0.19999999999999993</v>
      </c>
      <c r="Y410" s="43">
        <f t="shared" si="106"/>
        <v>4.3966942148760317</v>
      </c>
      <c r="Z410" s="43">
        <f t="shared" si="107"/>
        <v>21.983471074380166</v>
      </c>
      <c r="AA410" s="44" t="str">
        <f t="shared" si="108"/>
        <v>OK</v>
      </c>
    </row>
    <row r="411" spans="1:27" ht="15" customHeight="1" x14ac:dyDescent="0.25">
      <c r="A411" s="12" t="s">
        <v>708</v>
      </c>
      <c r="B411" s="40">
        <v>5.27</v>
      </c>
      <c r="C411" s="12" t="s">
        <v>709</v>
      </c>
      <c r="D411" s="40">
        <v>19.989999999999998</v>
      </c>
      <c r="E411" s="13">
        <f t="shared" si="109"/>
        <v>2.2988499999999998</v>
      </c>
      <c r="F411" s="14"/>
      <c r="G411" s="15">
        <v>0.115</v>
      </c>
      <c r="H411" s="40">
        <v>8.5500000000000007</v>
      </c>
      <c r="I411" s="40">
        <v>0</v>
      </c>
      <c r="J411" s="13">
        <f t="shared" si="95"/>
        <v>9.1411499999999997</v>
      </c>
      <c r="K411" s="13"/>
      <c r="L411" s="15">
        <f t="shared" si="96"/>
        <v>0.08</v>
      </c>
      <c r="M411" s="13">
        <f t="shared" si="97"/>
        <v>1.5992</v>
      </c>
      <c r="N411" s="13">
        <f t="shared" si="98"/>
        <v>2.2719500000000004</v>
      </c>
      <c r="O411" s="15">
        <f t="shared" si="99"/>
        <v>0.11365432716358181</v>
      </c>
      <c r="P411" s="16">
        <f t="shared" si="100"/>
        <v>22.84297520661157</v>
      </c>
      <c r="Q411" s="41">
        <f t="shared" si="101"/>
        <v>0.19999999999999987</v>
      </c>
      <c r="T411" s="42"/>
      <c r="U411" s="16">
        <f t="shared" si="102"/>
        <v>27.411570247933884</v>
      </c>
      <c r="V411" s="41">
        <f t="shared" si="103"/>
        <v>0.16666666666666674</v>
      </c>
      <c r="W411" s="17">
        <f t="shared" si="104"/>
        <v>0.30083333333333329</v>
      </c>
      <c r="X411" s="41">
        <f t="shared" si="105"/>
        <v>0.19999999999999987</v>
      </c>
      <c r="Y411" s="43">
        <f t="shared" si="106"/>
        <v>4.5685950413223111</v>
      </c>
      <c r="Z411" s="43">
        <f t="shared" si="107"/>
        <v>22.84297520661157</v>
      </c>
      <c r="AA411" s="44" t="str">
        <f t="shared" si="108"/>
        <v>OK</v>
      </c>
    </row>
    <row r="412" spans="1:27" ht="15" customHeight="1" x14ac:dyDescent="0.25">
      <c r="A412" s="12" t="s">
        <v>710</v>
      </c>
      <c r="B412" s="40">
        <v>4.24</v>
      </c>
      <c r="C412" s="12" t="s">
        <v>711</v>
      </c>
      <c r="D412" s="40">
        <v>17.899999999999999</v>
      </c>
      <c r="E412" s="13">
        <f t="shared" si="109"/>
        <v>2.0585</v>
      </c>
      <c r="F412" s="14"/>
      <c r="G412" s="15">
        <v>0.115</v>
      </c>
      <c r="H412" s="40">
        <v>6.75</v>
      </c>
      <c r="I412" s="40">
        <v>0</v>
      </c>
      <c r="J412" s="13">
        <f t="shared" si="95"/>
        <v>9.0914999999999981</v>
      </c>
      <c r="K412" s="13"/>
      <c r="L412" s="15">
        <f t="shared" si="96"/>
        <v>0.08</v>
      </c>
      <c r="M412" s="13">
        <f t="shared" si="97"/>
        <v>1.4319999999999999</v>
      </c>
      <c r="N412" s="13">
        <f t="shared" si="98"/>
        <v>3.419499999999998</v>
      </c>
      <c r="O412" s="15">
        <f t="shared" si="99"/>
        <v>0.19103351955307252</v>
      </c>
      <c r="P412" s="16">
        <f t="shared" si="100"/>
        <v>18.165289256198349</v>
      </c>
      <c r="Q412" s="41">
        <f t="shared" si="101"/>
        <v>0.20000000000000015</v>
      </c>
      <c r="T412" s="42"/>
      <c r="U412" s="16">
        <f t="shared" si="102"/>
        <v>21.798347107438019</v>
      </c>
      <c r="V412" s="41">
        <f t="shared" si="103"/>
        <v>0.16666666666666663</v>
      </c>
      <c r="W412" s="17">
        <f t="shared" si="104"/>
        <v>0.30083333333333334</v>
      </c>
      <c r="X412" s="41">
        <f t="shared" si="105"/>
        <v>0.20000000000000015</v>
      </c>
      <c r="Y412" s="43">
        <f t="shared" si="106"/>
        <v>3.6330578512396725</v>
      </c>
      <c r="Z412" s="43">
        <f t="shared" si="107"/>
        <v>18.165289256198349</v>
      </c>
      <c r="AA412" s="44" t="str">
        <f t="shared" si="108"/>
        <v>OK</v>
      </c>
    </row>
    <row r="413" spans="1:27" ht="15" customHeight="1" x14ac:dyDescent="0.25">
      <c r="A413" s="12" t="s">
        <v>712</v>
      </c>
      <c r="B413" s="40">
        <v>2.15</v>
      </c>
      <c r="C413" s="12" t="s">
        <v>713</v>
      </c>
      <c r="D413" s="40">
        <v>14.4</v>
      </c>
      <c r="E413" s="13">
        <f t="shared" si="109"/>
        <v>1.6560000000000001</v>
      </c>
      <c r="F413" s="14"/>
      <c r="G413" s="15">
        <v>0.115</v>
      </c>
      <c r="H413" s="40">
        <v>6.75</v>
      </c>
      <c r="I413" s="40">
        <v>0</v>
      </c>
      <c r="J413" s="13">
        <f t="shared" si="95"/>
        <v>5.9939999999999998</v>
      </c>
      <c r="K413" s="13"/>
      <c r="L413" s="15">
        <f t="shared" si="96"/>
        <v>0.08</v>
      </c>
      <c r="M413" s="13">
        <f t="shared" si="97"/>
        <v>1.1520000000000001</v>
      </c>
      <c r="N413" s="13">
        <f t="shared" si="98"/>
        <v>2.6919999999999997</v>
      </c>
      <c r="O413" s="15">
        <f t="shared" si="99"/>
        <v>0.18694444444444441</v>
      </c>
      <c r="P413" s="16">
        <f t="shared" si="100"/>
        <v>14.710743801652894</v>
      </c>
      <c r="Q413" s="41">
        <f t="shared" si="101"/>
        <v>0.20000000000000012</v>
      </c>
      <c r="T413" s="42"/>
      <c r="U413" s="16">
        <f t="shared" si="102"/>
        <v>17.652892561983471</v>
      </c>
      <c r="V413" s="41">
        <f t="shared" si="103"/>
        <v>0.16666666666666652</v>
      </c>
      <c r="W413" s="17">
        <f t="shared" si="104"/>
        <v>0.3008333333333334</v>
      </c>
      <c r="X413" s="41">
        <f t="shared" si="105"/>
        <v>0.20000000000000012</v>
      </c>
      <c r="Y413" s="43">
        <f t="shared" si="106"/>
        <v>2.9421487603305807</v>
      </c>
      <c r="Z413" s="43">
        <f t="shared" si="107"/>
        <v>14.710743801652894</v>
      </c>
      <c r="AA413" s="44" t="str">
        <f t="shared" si="108"/>
        <v>OK</v>
      </c>
    </row>
    <row r="414" spans="1:27" ht="15" customHeight="1" x14ac:dyDescent="0.25">
      <c r="A414" s="12" t="s">
        <v>714</v>
      </c>
      <c r="B414" s="40">
        <v>7.95</v>
      </c>
      <c r="C414" s="12" t="s">
        <v>715</v>
      </c>
      <c r="D414" s="40">
        <v>26.9</v>
      </c>
      <c r="E414" s="13">
        <f t="shared" si="109"/>
        <v>3.0935000000000001</v>
      </c>
      <c r="F414" s="14"/>
      <c r="G414" s="15">
        <v>0.115</v>
      </c>
      <c r="H414" s="40">
        <v>6.65</v>
      </c>
      <c r="I414" s="40">
        <v>0</v>
      </c>
      <c r="J414" s="13">
        <f t="shared" si="95"/>
        <v>17.156500000000001</v>
      </c>
      <c r="K414" s="13"/>
      <c r="L414" s="15">
        <f t="shared" si="96"/>
        <v>0.08</v>
      </c>
      <c r="M414" s="13">
        <f t="shared" si="97"/>
        <v>2.1520000000000001</v>
      </c>
      <c r="N414" s="13">
        <f t="shared" si="98"/>
        <v>7.0545000000000018</v>
      </c>
      <c r="O414" s="15">
        <f t="shared" si="99"/>
        <v>0.26224907063197034</v>
      </c>
      <c r="P414" s="16">
        <f t="shared" si="100"/>
        <v>24.132231404958681</v>
      </c>
      <c r="Q414" s="41">
        <f t="shared" si="101"/>
        <v>0.20000000000000009</v>
      </c>
      <c r="T414" s="42"/>
      <c r="U414" s="16">
        <f t="shared" si="102"/>
        <v>28.958677685950416</v>
      </c>
      <c r="V414" s="41">
        <f t="shared" si="103"/>
        <v>0.16666666666666663</v>
      </c>
      <c r="W414" s="17">
        <f t="shared" si="104"/>
        <v>0.30083333333333345</v>
      </c>
      <c r="X414" s="41">
        <f t="shared" si="105"/>
        <v>0.20000000000000009</v>
      </c>
      <c r="Y414" s="43">
        <f t="shared" si="106"/>
        <v>4.8264462809917381</v>
      </c>
      <c r="Z414" s="43">
        <f t="shared" si="107"/>
        <v>24.132231404958681</v>
      </c>
      <c r="AA414" s="44" t="str">
        <f t="shared" si="108"/>
        <v>OK</v>
      </c>
    </row>
    <row r="415" spans="1:27" ht="15" customHeight="1" x14ac:dyDescent="0.25">
      <c r="A415" s="12" t="s">
        <v>716</v>
      </c>
      <c r="B415" s="40">
        <v>7.95</v>
      </c>
      <c r="C415" s="12" t="s">
        <v>717</v>
      </c>
      <c r="D415" s="40">
        <v>26.9</v>
      </c>
      <c r="E415" s="13">
        <f t="shared" si="109"/>
        <v>3.0935000000000001</v>
      </c>
      <c r="F415" s="14"/>
      <c r="G415" s="15">
        <v>0.115</v>
      </c>
      <c r="H415" s="40">
        <v>6.55</v>
      </c>
      <c r="I415" s="40">
        <v>0</v>
      </c>
      <c r="J415" s="13">
        <f t="shared" si="95"/>
        <v>17.256499999999999</v>
      </c>
      <c r="K415" s="13"/>
      <c r="L415" s="15">
        <f t="shared" si="96"/>
        <v>0.08</v>
      </c>
      <c r="M415" s="13">
        <f t="shared" si="97"/>
        <v>2.1520000000000001</v>
      </c>
      <c r="N415" s="13">
        <f t="shared" si="98"/>
        <v>7.1544999999999996</v>
      </c>
      <c r="O415" s="15">
        <f t="shared" si="99"/>
        <v>0.26596654275092935</v>
      </c>
      <c r="P415" s="16">
        <f t="shared" si="100"/>
        <v>23.966942148760332</v>
      </c>
      <c r="Q415" s="41">
        <f t="shared" si="101"/>
        <v>0.19999999999999993</v>
      </c>
      <c r="T415" s="42"/>
      <c r="U415" s="16">
        <f t="shared" si="102"/>
        <v>28.760330578512399</v>
      </c>
      <c r="V415" s="41">
        <f t="shared" si="103"/>
        <v>0.16666666666666674</v>
      </c>
      <c r="W415" s="17">
        <f t="shared" si="104"/>
        <v>0.30083333333333329</v>
      </c>
      <c r="X415" s="41">
        <f t="shared" si="105"/>
        <v>0.19999999999999993</v>
      </c>
      <c r="Y415" s="43">
        <f t="shared" si="106"/>
        <v>4.7933884297520644</v>
      </c>
      <c r="Z415" s="43">
        <f t="shared" si="107"/>
        <v>23.966942148760332</v>
      </c>
      <c r="AA415" s="44" t="str">
        <f t="shared" si="108"/>
        <v>OK</v>
      </c>
    </row>
    <row r="416" spans="1:27" ht="15" customHeight="1" x14ac:dyDescent="0.25">
      <c r="A416" s="12" t="s">
        <v>718</v>
      </c>
      <c r="B416" s="40">
        <v>13.41</v>
      </c>
      <c r="C416" s="12" t="s">
        <v>719</v>
      </c>
      <c r="D416" s="40">
        <v>34.9</v>
      </c>
      <c r="E416" s="13">
        <f t="shared" si="109"/>
        <v>4.1879999999999997</v>
      </c>
      <c r="F416" s="14"/>
      <c r="G416" s="15">
        <v>0.12</v>
      </c>
      <c r="H416" s="40">
        <v>8.5500000000000007</v>
      </c>
      <c r="I416" s="40">
        <v>0</v>
      </c>
      <c r="J416" s="13">
        <f t="shared" si="95"/>
        <v>22.161999999999999</v>
      </c>
      <c r="K416" s="13"/>
      <c r="L416" s="15">
        <f t="shared" si="96"/>
        <v>0.08</v>
      </c>
      <c r="M416" s="13">
        <f t="shared" si="97"/>
        <v>2.7919999999999998</v>
      </c>
      <c r="N416" s="13">
        <f t="shared" si="98"/>
        <v>5.9599999999999991</v>
      </c>
      <c r="O416" s="15">
        <f t="shared" si="99"/>
        <v>0.17077363896848136</v>
      </c>
      <c r="P416" s="16">
        <f t="shared" si="100"/>
        <v>36.599999999999994</v>
      </c>
      <c r="Q416" s="41">
        <f t="shared" si="101"/>
        <v>0.19999999999999996</v>
      </c>
      <c r="T416" s="42"/>
      <c r="U416" s="16">
        <f t="shared" si="102"/>
        <v>43.919999999999995</v>
      </c>
      <c r="V416" s="41">
        <f t="shared" si="103"/>
        <v>0.16666666666666674</v>
      </c>
      <c r="W416" s="17">
        <f t="shared" si="104"/>
        <v>0.29999999999999982</v>
      </c>
      <c r="X416" s="41">
        <f t="shared" si="105"/>
        <v>0.19999999999999996</v>
      </c>
      <c r="Y416" s="43">
        <f t="shared" si="106"/>
        <v>7.3199999999999967</v>
      </c>
      <c r="Z416" s="43">
        <f t="shared" si="107"/>
        <v>36.599999999999994</v>
      </c>
      <c r="AA416" s="44" t="str">
        <f t="shared" si="108"/>
        <v>OK</v>
      </c>
    </row>
    <row r="417" spans="1:27" ht="15" customHeight="1" x14ac:dyDescent="0.25">
      <c r="A417" s="12" t="s">
        <v>720</v>
      </c>
      <c r="B417" s="40">
        <v>5.85</v>
      </c>
      <c r="C417" s="12" t="s">
        <v>721</v>
      </c>
      <c r="D417" s="40">
        <v>20.5</v>
      </c>
      <c r="E417" s="13">
        <f t="shared" si="109"/>
        <v>2.3574999999999999</v>
      </c>
      <c r="F417" s="14"/>
      <c r="G417" s="15">
        <v>0.115</v>
      </c>
      <c r="H417" s="40">
        <v>6.55</v>
      </c>
      <c r="I417" s="40">
        <v>0</v>
      </c>
      <c r="J417" s="13">
        <f t="shared" si="95"/>
        <v>11.592499999999998</v>
      </c>
      <c r="K417" s="13"/>
      <c r="L417" s="15">
        <f t="shared" si="96"/>
        <v>0.08</v>
      </c>
      <c r="M417" s="13">
        <f t="shared" si="97"/>
        <v>1.6400000000000001</v>
      </c>
      <c r="N417" s="13">
        <f t="shared" si="98"/>
        <v>4.1024999999999974</v>
      </c>
      <c r="O417" s="15">
        <f t="shared" si="99"/>
        <v>0.20012195121951207</v>
      </c>
      <c r="P417" s="16">
        <f t="shared" si="100"/>
        <v>20.495867768595041</v>
      </c>
      <c r="Q417" s="41">
        <f t="shared" si="101"/>
        <v>0.19999999999999996</v>
      </c>
      <c r="T417" s="42"/>
      <c r="U417" s="16">
        <f t="shared" si="102"/>
        <v>24.595041322314049</v>
      </c>
      <c r="V417" s="41">
        <f t="shared" si="103"/>
        <v>0.16666666666666674</v>
      </c>
      <c r="W417" s="17">
        <f t="shared" si="104"/>
        <v>0.30083333333333323</v>
      </c>
      <c r="X417" s="41">
        <f t="shared" si="105"/>
        <v>0.19999999999999996</v>
      </c>
      <c r="Y417" s="43">
        <f t="shared" si="106"/>
        <v>4.099173553719007</v>
      </c>
      <c r="Z417" s="43">
        <f t="shared" si="107"/>
        <v>20.495867768595041</v>
      </c>
      <c r="AA417" s="44" t="str">
        <f t="shared" si="108"/>
        <v>OK</v>
      </c>
    </row>
    <row r="418" spans="1:27" ht="15" customHeight="1" x14ac:dyDescent="0.25">
      <c r="A418" s="12" t="s">
        <v>722</v>
      </c>
      <c r="B418" s="40">
        <v>4</v>
      </c>
      <c r="C418" s="12" t="s">
        <v>723</v>
      </c>
      <c r="D418" s="40">
        <v>17.5</v>
      </c>
      <c r="E418" s="13">
        <f t="shared" si="109"/>
        <v>2.0125000000000002</v>
      </c>
      <c r="F418" s="14"/>
      <c r="G418" s="15">
        <v>0.115</v>
      </c>
      <c r="H418" s="40">
        <v>8.0500000000000007</v>
      </c>
      <c r="I418" s="40">
        <v>0</v>
      </c>
      <c r="J418" s="13">
        <f t="shared" si="95"/>
        <v>7.4375</v>
      </c>
      <c r="K418" s="13"/>
      <c r="L418" s="15">
        <f t="shared" si="96"/>
        <v>0.08</v>
      </c>
      <c r="M418" s="13">
        <f t="shared" si="97"/>
        <v>1.4000000000000001</v>
      </c>
      <c r="N418" s="13">
        <f t="shared" si="98"/>
        <v>2.0374999999999996</v>
      </c>
      <c r="O418" s="15">
        <f t="shared" si="99"/>
        <v>0.11642857142857141</v>
      </c>
      <c r="P418" s="16">
        <f t="shared" si="100"/>
        <v>19.917355371900829</v>
      </c>
      <c r="Q418" s="41">
        <f t="shared" si="101"/>
        <v>0.20000000000000009</v>
      </c>
      <c r="T418" s="42"/>
      <c r="U418" s="16">
        <f t="shared" si="102"/>
        <v>23.900826446280995</v>
      </c>
      <c r="V418" s="41">
        <f t="shared" si="103"/>
        <v>0.16666666666666663</v>
      </c>
      <c r="W418" s="17">
        <f t="shared" si="104"/>
        <v>0.30083333333333334</v>
      </c>
      <c r="X418" s="41">
        <f t="shared" si="105"/>
        <v>0.20000000000000009</v>
      </c>
      <c r="Y418" s="43">
        <f t="shared" si="106"/>
        <v>3.9834710743801676</v>
      </c>
      <c r="Z418" s="43">
        <f t="shared" si="107"/>
        <v>19.917355371900829</v>
      </c>
      <c r="AA418" s="44" t="str">
        <f t="shared" si="108"/>
        <v>OK</v>
      </c>
    </row>
    <row r="419" spans="1:27" ht="15" customHeight="1" x14ac:dyDescent="0.25">
      <c r="A419" s="12" t="s">
        <v>724</v>
      </c>
      <c r="B419" s="40">
        <v>7.7</v>
      </c>
      <c r="C419" s="12" t="s">
        <v>725</v>
      </c>
      <c r="D419" s="40">
        <v>23.5</v>
      </c>
      <c r="E419" s="13">
        <f t="shared" si="109"/>
        <v>2.7025000000000001</v>
      </c>
      <c r="F419" s="14"/>
      <c r="G419" s="15">
        <v>0.115</v>
      </c>
      <c r="H419" s="40">
        <v>6.85</v>
      </c>
      <c r="I419" s="40">
        <v>0</v>
      </c>
      <c r="J419" s="13">
        <f t="shared" si="95"/>
        <v>13.9475</v>
      </c>
      <c r="K419" s="13"/>
      <c r="L419" s="15">
        <f t="shared" si="96"/>
        <v>0.08</v>
      </c>
      <c r="M419" s="13">
        <f t="shared" si="97"/>
        <v>1.8800000000000001</v>
      </c>
      <c r="N419" s="13">
        <f t="shared" si="98"/>
        <v>4.3674999999999997</v>
      </c>
      <c r="O419" s="15">
        <f t="shared" si="99"/>
        <v>0.18585106382978722</v>
      </c>
      <c r="P419" s="16">
        <f t="shared" si="100"/>
        <v>24.049586776859506</v>
      </c>
      <c r="Q419" s="41">
        <f t="shared" si="101"/>
        <v>0.20000000000000012</v>
      </c>
      <c r="T419" s="42"/>
      <c r="U419" s="16">
        <f t="shared" si="102"/>
        <v>28.859504132231407</v>
      </c>
      <c r="V419" s="41">
        <f t="shared" si="103"/>
        <v>0.16666666666666663</v>
      </c>
      <c r="W419" s="17">
        <f t="shared" si="104"/>
        <v>0.30083333333333356</v>
      </c>
      <c r="X419" s="41">
        <f t="shared" si="105"/>
        <v>0.20000000000000012</v>
      </c>
      <c r="Y419" s="43">
        <f t="shared" si="106"/>
        <v>4.8099173553719039</v>
      </c>
      <c r="Z419" s="43">
        <f t="shared" si="107"/>
        <v>24.049586776859506</v>
      </c>
      <c r="AA419" s="44" t="str">
        <f t="shared" si="108"/>
        <v>OK</v>
      </c>
    </row>
    <row r="420" spans="1:27" ht="15" customHeight="1" x14ac:dyDescent="0.25">
      <c r="A420" s="12" t="s">
        <v>726</v>
      </c>
      <c r="B420" s="40">
        <v>23.28</v>
      </c>
      <c r="C420" s="12" t="s">
        <v>727</v>
      </c>
      <c r="D420" s="40">
        <v>49</v>
      </c>
      <c r="E420" s="13">
        <f t="shared" si="109"/>
        <v>5.6350000000000007</v>
      </c>
      <c r="F420" s="14"/>
      <c r="G420" s="15">
        <v>0.115</v>
      </c>
      <c r="H420" s="40">
        <v>6.95</v>
      </c>
      <c r="I420" s="40">
        <v>0</v>
      </c>
      <c r="J420" s="13">
        <f t="shared" si="95"/>
        <v>36.414999999999999</v>
      </c>
      <c r="K420" s="13"/>
      <c r="L420" s="15">
        <f t="shared" si="96"/>
        <v>0.08</v>
      </c>
      <c r="M420" s="13">
        <f t="shared" si="97"/>
        <v>3.92</v>
      </c>
      <c r="N420" s="13">
        <f t="shared" si="98"/>
        <v>9.2149999999999981</v>
      </c>
      <c r="O420" s="15">
        <f t="shared" si="99"/>
        <v>0.18806122448979587</v>
      </c>
      <c r="P420" s="16">
        <f t="shared" si="100"/>
        <v>49.966942148760332</v>
      </c>
      <c r="Q420" s="41">
        <f t="shared" si="101"/>
        <v>0.2</v>
      </c>
      <c r="T420" s="42"/>
      <c r="U420" s="16">
        <f t="shared" si="102"/>
        <v>59.960330578512398</v>
      </c>
      <c r="V420" s="41">
        <f t="shared" si="103"/>
        <v>0.16666666666666663</v>
      </c>
      <c r="W420" s="17">
        <f t="shared" si="104"/>
        <v>0.30083333333333329</v>
      </c>
      <c r="X420" s="41">
        <f t="shared" si="105"/>
        <v>0.2</v>
      </c>
      <c r="Y420" s="43">
        <f t="shared" si="106"/>
        <v>9.9933884297520663</v>
      </c>
      <c r="Z420" s="43">
        <f t="shared" si="107"/>
        <v>49.966942148760332</v>
      </c>
      <c r="AA420" s="44" t="str">
        <f t="shared" si="108"/>
        <v>OK</v>
      </c>
    </row>
    <row r="421" spans="1:27" ht="15" customHeight="1" x14ac:dyDescent="0.25">
      <c r="A421" s="12" t="s">
        <v>728</v>
      </c>
      <c r="B421" s="40">
        <v>11.99</v>
      </c>
      <c r="C421" s="12" t="s">
        <v>729</v>
      </c>
      <c r="D421" s="40">
        <v>32.99</v>
      </c>
      <c r="E421" s="13">
        <f t="shared" si="109"/>
        <v>3.7938500000000004</v>
      </c>
      <c r="F421" s="14"/>
      <c r="G421" s="15">
        <v>0.115</v>
      </c>
      <c r="H421" s="40">
        <v>6.95</v>
      </c>
      <c r="I421" s="40">
        <v>0</v>
      </c>
      <c r="J421" s="13">
        <f t="shared" si="95"/>
        <v>22.246150000000004</v>
      </c>
      <c r="K421" s="13"/>
      <c r="L421" s="15">
        <f t="shared" si="96"/>
        <v>0.08</v>
      </c>
      <c r="M421" s="13">
        <f t="shared" si="97"/>
        <v>2.6392000000000002</v>
      </c>
      <c r="N421" s="13">
        <f t="shared" si="98"/>
        <v>7.6169500000000028</v>
      </c>
      <c r="O421" s="15">
        <f t="shared" si="99"/>
        <v>0.23088663231282214</v>
      </c>
      <c r="P421" s="16">
        <f t="shared" si="100"/>
        <v>31.305785123966945</v>
      </c>
      <c r="Q421" s="41">
        <f t="shared" si="101"/>
        <v>0.2</v>
      </c>
      <c r="T421" s="42"/>
      <c r="U421" s="16">
        <f t="shared" si="102"/>
        <v>37.566942148760333</v>
      </c>
      <c r="V421" s="41">
        <f t="shared" si="103"/>
        <v>0.16666666666666663</v>
      </c>
      <c r="W421" s="17">
        <f t="shared" si="104"/>
        <v>0.30083333333333345</v>
      </c>
      <c r="X421" s="41">
        <f t="shared" si="105"/>
        <v>0.2</v>
      </c>
      <c r="Y421" s="43">
        <f t="shared" si="106"/>
        <v>6.2611570247933894</v>
      </c>
      <c r="Z421" s="43">
        <f t="shared" si="107"/>
        <v>31.305785123966945</v>
      </c>
      <c r="AA421" s="44" t="str">
        <f t="shared" si="108"/>
        <v>OK</v>
      </c>
    </row>
    <row r="422" spans="1:27" ht="15" customHeight="1" x14ac:dyDescent="0.25">
      <c r="A422" s="12" t="s">
        <v>730</v>
      </c>
      <c r="B422" s="40">
        <v>7.45</v>
      </c>
      <c r="C422" s="12" t="s">
        <v>731</v>
      </c>
      <c r="D422" s="40">
        <v>23.99</v>
      </c>
      <c r="E422" s="13">
        <f t="shared" si="109"/>
        <v>2.7588499999999998</v>
      </c>
      <c r="F422" s="14"/>
      <c r="G422" s="15">
        <v>0.115</v>
      </c>
      <c r="H422" s="40">
        <v>6.65</v>
      </c>
      <c r="I422" s="40">
        <v>0</v>
      </c>
      <c r="J422" s="13">
        <f t="shared" si="95"/>
        <v>14.581149999999999</v>
      </c>
      <c r="K422" s="13"/>
      <c r="L422" s="15">
        <f t="shared" si="96"/>
        <v>0.08</v>
      </c>
      <c r="M422" s="13">
        <f t="shared" si="97"/>
        <v>1.9192</v>
      </c>
      <c r="N422" s="13">
        <f t="shared" si="98"/>
        <v>5.211949999999999</v>
      </c>
      <c r="O422" s="15">
        <f t="shared" si="99"/>
        <v>0.21725510629428926</v>
      </c>
      <c r="P422" s="16">
        <f t="shared" si="100"/>
        <v>23.305785123966945</v>
      </c>
      <c r="Q422" s="41">
        <f t="shared" si="101"/>
        <v>0.20000000000000007</v>
      </c>
      <c r="T422" s="42"/>
      <c r="U422" s="16">
        <f t="shared" si="102"/>
        <v>27.966942148760335</v>
      </c>
      <c r="V422" s="41">
        <f t="shared" si="103"/>
        <v>0.16666666666666674</v>
      </c>
      <c r="W422" s="17">
        <f t="shared" si="104"/>
        <v>0.30083333333333334</v>
      </c>
      <c r="X422" s="41">
        <f t="shared" si="105"/>
        <v>0.20000000000000007</v>
      </c>
      <c r="Y422" s="43">
        <f t="shared" si="106"/>
        <v>4.6611570247933907</v>
      </c>
      <c r="Z422" s="43">
        <f t="shared" si="107"/>
        <v>23.305785123966945</v>
      </c>
      <c r="AA422" s="44" t="str">
        <f t="shared" si="108"/>
        <v>OK</v>
      </c>
    </row>
    <row r="423" spans="1:27" ht="15" customHeight="1" x14ac:dyDescent="0.25">
      <c r="A423" s="12" t="s">
        <v>732</v>
      </c>
      <c r="B423" s="40">
        <v>14.5</v>
      </c>
      <c r="C423" s="12" t="s">
        <v>733</v>
      </c>
      <c r="D423" s="40">
        <v>36.9</v>
      </c>
      <c r="E423" s="13">
        <f t="shared" si="109"/>
        <v>4.2435</v>
      </c>
      <c r="F423" s="14"/>
      <c r="G423" s="15">
        <v>0.115</v>
      </c>
      <c r="H423" s="40">
        <v>6.55</v>
      </c>
      <c r="I423" s="40">
        <v>0</v>
      </c>
      <c r="J423" s="13">
        <f t="shared" si="95"/>
        <v>26.1065</v>
      </c>
      <c r="K423" s="13"/>
      <c r="L423" s="15">
        <f t="shared" si="96"/>
        <v>0.08</v>
      </c>
      <c r="M423" s="13">
        <f t="shared" si="97"/>
        <v>2.952</v>
      </c>
      <c r="N423" s="13">
        <f t="shared" si="98"/>
        <v>8.6545000000000005</v>
      </c>
      <c r="O423" s="15">
        <f t="shared" si="99"/>
        <v>0.23453929539295396</v>
      </c>
      <c r="P423" s="16">
        <f t="shared" si="100"/>
        <v>34.793388429752071</v>
      </c>
      <c r="Q423" s="41">
        <f t="shared" si="101"/>
        <v>0.20000000000000007</v>
      </c>
      <c r="T423" s="42"/>
      <c r="U423" s="16">
        <f t="shared" si="102"/>
        <v>41.752066115702483</v>
      </c>
      <c r="V423" s="41">
        <f t="shared" si="103"/>
        <v>0.16666666666666663</v>
      </c>
      <c r="W423" s="17">
        <f t="shared" si="104"/>
        <v>0.30083333333333334</v>
      </c>
      <c r="X423" s="41">
        <f t="shared" si="105"/>
        <v>0.20000000000000007</v>
      </c>
      <c r="Y423" s="43">
        <f t="shared" si="106"/>
        <v>6.9586776859504162</v>
      </c>
      <c r="Z423" s="43">
        <f t="shared" si="107"/>
        <v>34.793388429752071</v>
      </c>
      <c r="AA423" s="44" t="str">
        <f t="shared" si="108"/>
        <v>OK</v>
      </c>
    </row>
    <row r="424" spans="1:27" ht="15" customHeight="1" x14ac:dyDescent="0.25">
      <c r="A424" s="12" t="s">
        <v>734</v>
      </c>
      <c r="B424" s="40">
        <v>6.9</v>
      </c>
      <c r="C424" s="12" t="s">
        <v>735</v>
      </c>
      <c r="D424" s="40">
        <v>22.5</v>
      </c>
      <c r="E424" s="13">
        <f t="shared" si="109"/>
        <v>2.6999999999999997</v>
      </c>
      <c r="F424" s="14"/>
      <c r="G424" s="15">
        <v>0.12</v>
      </c>
      <c r="H424" s="40">
        <v>6.55</v>
      </c>
      <c r="I424" s="40">
        <v>0</v>
      </c>
      <c r="J424" s="13">
        <f t="shared" si="95"/>
        <v>13.25</v>
      </c>
      <c r="K424" s="13"/>
      <c r="L424" s="15">
        <f t="shared" si="96"/>
        <v>0.08</v>
      </c>
      <c r="M424" s="13">
        <f t="shared" si="97"/>
        <v>1.8</v>
      </c>
      <c r="N424" s="13">
        <f t="shared" si="98"/>
        <v>4.55</v>
      </c>
      <c r="O424" s="15">
        <f t="shared" si="99"/>
        <v>0.20222222222222222</v>
      </c>
      <c r="P424" s="16">
        <f t="shared" si="100"/>
        <v>22.416666666666661</v>
      </c>
      <c r="Q424" s="41">
        <f t="shared" si="101"/>
        <v>0.19999999999999984</v>
      </c>
      <c r="T424" s="42"/>
      <c r="U424" s="16">
        <f t="shared" si="102"/>
        <v>26.899999999999991</v>
      </c>
      <c r="V424" s="41">
        <f t="shared" si="103"/>
        <v>0.16666666666666663</v>
      </c>
      <c r="W424" s="17">
        <f t="shared" si="104"/>
        <v>0.29999999999999982</v>
      </c>
      <c r="X424" s="41">
        <f t="shared" si="105"/>
        <v>0.19999999999999984</v>
      </c>
      <c r="Y424" s="43">
        <f t="shared" si="106"/>
        <v>4.483333333333329</v>
      </c>
      <c r="Z424" s="43">
        <f t="shared" si="107"/>
        <v>22.416666666666661</v>
      </c>
      <c r="AA424" s="44" t="str">
        <f t="shared" si="108"/>
        <v>OK</v>
      </c>
    </row>
    <row r="425" spans="1:27" ht="15" customHeight="1" x14ac:dyDescent="0.25">
      <c r="A425" s="12" t="s">
        <v>736</v>
      </c>
      <c r="B425" s="40">
        <v>9.5</v>
      </c>
      <c r="C425" s="12" t="s">
        <v>737</v>
      </c>
      <c r="D425" s="40">
        <v>26.5</v>
      </c>
      <c r="E425" s="13">
        <f t="shared" si="109"/>
        <v>3.0475000000000003</v>
      </c>
      <c r="F425" s="14"/>
      <c r="G425" s="15">
        <v>0.115</v>
      </c>
      <c r="H425" s="40">
        <v>6.55</v>
      </c>
      <c r="I425" s="40">
        <v>0</v>
      </c>
      <c r="J425" s="13">
        <f t="shared" si="95"/>
        <v>16.9025</v>
      </c>
      <c r="K425" s="13"/>
      <c r="L425" s="15">
        <f t="shared" si="96"/>
        <v>0.08</v>
      </c>
      <c r="M425" s="13">
        <f t="shared" si="97"/>
        <v>2.12</v>
      </c>
      <c r="N425" s="13">
        <f t="shared" si="98"/>
        <v>5.2824999999999998</v>
      </c>
      <c r="O425" s="15">
        <f t="shared" si="99"/>
        <v>0.19933962264150942</v>
      </c>
      <c r="P425" s="16">
        <f t="shared" si="100"/>
        <v>26.528925619834713</v>
      </c>
      <c r="Q425" s="41">
        <f t="shared" si="101"/>
        <v>0.19999999999999998</v>
      </c>
      <c r="T425" s="42"/>
      <c r="U425" s="16">
        <f t="shared" si="102"/>
        <v>31.834710743801654</v>
      </c>
      <c r="V425" s="41">
        <f t="shared" si="103"/>
        <v>0.16666666666666663</v>
      </c>
      <c r="W425" s="17">
        <f t="shared" si="104"/>
        <v>0.30083333333333334</v>
      </c>
      <c r="X425" s="41">
        <f t="shared" si="105"/>
        <v>0.19999999999999998</v>
      </c>
      <c r="Y425" s="43">
        <f t="shared" si="106"/>
        <v>5.3057851239669418</v>
      </c>
      <c r="Z425" s="43">
        <f t="shared" si="107"/>
        <v>26.528925619834713</v>
      </c>
      <c r="AA425" s="44" t="str">
        <f t="shared" si="108"/>
        <v>OK</v>
      </c>
    </row>
    <row r="426" spans="1:27" ht="15" customHeight="1" x14ac:dyDescent="0.25">
      <c r="A426" s="12" t="s">
        <v>738</v>
      </c>
      <c r="B426" s="40">
        <v>6.25</v>
      </c>
      <c r="C426" s="12" t="s">
        <v>739</v>
      </c>
      <c r="D426" s="40">
        <v>21.5</v>
      </c>
      <c r="E426" s="13">
        <f t="shared" ref="E426:E457" si="110">D426*G426</f>
        <v>2.58</v>
      </c>
      <c r="F426" s="14"/>
      <c r="G426" s="15">
        <v>0.12</v>
      </c>
      <c r="H426" s="40">
        <v>6.65</v>
      </c>
      <c r="I426" s="40">
        <v>0</v>
      </c>
      <c r="J426" s="13">
        <f t="shared" si="95"/>
        <v>12.270000000000001</v>
      </c>
      <c r="K426" s="13"/>
      <c r="L426" s="15">
        <f t="shared" si="96"/>
        <v>0.08</v>
      </c>
      <c r="M426" s="13">
        <f t="shared" si="97"/>
        <v>1.72</v>
      </c>
      <c r="N426" s="13">
        <f t="shared" si="98"/>
        <v>4.3000000000000016</v>
      </c>
      <c r="O426" s="15">
        <f t="shared" si="99"/>
        <v>0.20000000000000007</v>
      </c>
      <c r="P426" s="16">
        <f t="shared" si="100"/>
        <v>21.499999999999996</v>
      </c>
      <c r="Q426" s="41">
        <f t="shared" si="101"/>
        <v>0.1999999999999999</v>
      </c>
      <c r="T426" s="42"/>
      <c r="U426" s="16">
        <f t="shared" si="102"/>
        <v>25.799999999999994</v>
      </c>
      <c r="V426" s="41">
        <f t="shared" si="103"/>
        <v>0.16666666666666663</v>
      </c>
      <c r="W426" s="17">
        <f t="shared" si="104"/>
        <v>0.29999999999999988</v>
      </c>
      <c r="X426" s="41">
        <f t="shared" si="105"/>
        <v>0.1999999999999999</v>
      </c>
      <c r="Y426" s="43">
        <f t="shared" si="106"/>
        <v>4.2999999999999972</v>
      </c>
      <c r="Z426" s="43">
        <f t="shared" si="107"/>
        <v>21.499999999999996</v>
      </c>
      <c r="AA426" s="44" t="str">
        <f t="shared" si="108"/>
        <v>OK</v>
      </c>
    </row>
    <row r="427" spans="1:27" ht="15" customHeight="1" x14ac:dyDescent="0.25">
      <c r="A427" s="12" t="s">
        <v>740</v>
      </c>
      <c r="B427" s="40">
        <v>6.25</v>
      </c>
      <c r="C427" s="12" t="s">
        <v>741</v>
      </c>
      <c r="D427" s="40">
        <v>21.5</v>
      </c>
      <c r="E427" s="13">
        <f t="shared" si="110"/>
        <v>2.58</v>
      </c>
      <c r="F427" s="14"/>
      <c r="G427" s="15">
        <v>0.12</v>
      </c>
      <c r="H427" s="40">
        <v>6.65</v>
      </c>
      <c r="I427" s="40">
        <v>0</v>
      </c>
      <c r="J427" s="13">
        <f t="shared" si="95"/>
        <v>12.270000000000001</v>
      </c>
      <c r="K427" s="13"/>
      <c r="L427" s="15">
        <f t="shared" si="96"/>
        <v>0.08</v>
      </c>
      <c r="M427" s="13">
        <f t="shared" si="97"/>
        <v>1.72</v>
      </c>
      <c r="N427" s="13">
        <f t="shared" si="98"/>
        <v>4.3000000000000016</v>
      </c>
      <c r="O427" s="15">
        <f t="shared" si="99"/>
        <v>0.20000000000000007</v>
      </c>
      <c r="P427" s="16">
        <f t="shared" si="100"/>
        <v>21.499999999999996</v>
      </c>
      <c r="Q427" s="41">
        <f t="shared" si="101"/>
        <v>0.1999999999999999</v>
      </c>
      <c r="T427" s="42"/>
      <c r="U427" s="16">
        <f t="shared" si="102"/>
        <v>25.799999999999994</v>
      </c>
      <c r="V427" s="41">
        <f t="shared" si="103"/>
        <v>0.16666666666666663</v>
      </c>
      <c r="W427" s="17">
        <f t="shared" si="104"/>
        <v>0.29999999999999988</v>
      </c>
      <c r="X427" s="41">
        <f t="shared" si="105"/>
        <v>0.1999999999999999</v>
      </c>
      <c r="Y427" s="43">
        <f t="shared" si="106"/>
        <v>4.2999999999999972</v>
      </c>
      <c r="Z427" s="43">
        <f t="shared" si="107"/>
        <v>21.499999999999996</v>
      </c>
      <c r="AA427" s="44" t="str">
        <f t="shared" si="108"/>
        <v>OK</v>
      </c>
    </row>
    <row r="428" spans="1:27" ht="15" customHeight="1" x14ac:dyDescent="0.25">
      <c r="A428" s="12" t="s">
        <v>742</v>
      </c>
      <c r="B428" s="40">
        <v>7.65</v>
      </c>
      <c r="C428" s="12" t="s">
        <v>743</v>
      </c>
      <c r="D428" s="40">
        <v>24.9</v>
      </c>
      <c r="E428" s="13">
        <f t="shared" si="110"/>
        <v>3.4860000000000002</v>
      </c>
      <c r="F428" s="14"/>
      <c r="G428" s="15">
        <v>0.14000000000000001</v>
      </c>
      <c r="H428" s="40">
        <v>6.65</v>
      </c>
      <c r="I428" s="40">
        <v>0</v>
      </c>
      <c r="J428" s="13">
        <f t="shared" si="95"/>
        <v>14.763999999999998</v>
      </c>
      <c r="K428" s="13"/>
      <c r="L428" s="15">
        <f t="shared" si="96"/>
        <v>0.08</v>
      </c>
      <c r="M428" s="13">
        <f t="shared" si="97"/>
        <v>1.992</v>
      </c>
      <c r="N428" s="13">
        <f t="shared" si="98"/>
        <v>5.1219999999999972</v>
      </c>
      <c r="O428" s="15">
        <f t="shared" si="99"/>
        <v>0.20570281124497983</v>
      </c>
      <c r="P428" s="16">
        <f t="shared" si="100"/>
        <v>24.655172413793103</v>
      </c>
      <c r="Q428" s="41">
        <f t="shared" si="101"/>
        <v>0.2</v>
      </c>
      <c r="T428" s="42"/>
      <c r="U428" s="16">
        <f t="shared" si="102"/>
        <v>29.586206896551722</v>
      </c>
      <c r="V428" s="41">
        <f t="shared" si="103"/>
        <v>0.16666666666666663</v>
      </c>
      <c r="W428" s="17">
        <f t="shared" si="104"/>
        <v>0.29666666666666669</v>
      </c>
      <c r="X428" s="41">
        <f t="shared" si="105"/>
        <v>0.2</v>
      </c>
      <c r="Y428" s="43">
        <f t="shared" si="106"/>
        <v>4.931034482758621</v>
      </c>
      <c r="Z428" s="43">
        <f t="shared" si="107"/>
        <v>24.655172413793103</v>
      </c>
      <c r="AA428" s="44" t="str">
        <f t="shared" si="108"/>
        <v>OK</v>
      </c>
    </row>
    <row r="429" spans="1:27" ht="15" customHeight="1" x14ac:dyDescent="0.25">
      <c r="A429" s="12" t="s">
        <v>744</v>
      </c>
      <c r="B429" s="40">
        <v>7.65</v>
      </c>
      <c r="C429" s="12" t="s">
        <v>745</v>
      </c>
      <c r="D429" s="40">
        <v>24.9</v>
      </c>
      <c r="E429" s="13">
        <f t="shared" si="110"/>
        <v>3.4860000000000002</v>
      </c>
      <c r="F429" s="14"/>
      <c r="G429" s="15">
        <v>0.14000000000000001</v>
      </c>
      <c r="H429" s="40">
        <v>6.95</v>
      </c>
      <c r="I429" s="40">
        <v>0</v>
      </c>
      <c r="J429" s="13">
        <f t="shared" si="95"/>
        <v>14.463999999999999</v>
      </c>
      <c r="K429" s="13"/>
      <c r="L429" s="15">
        <f t="shared" si="96"/>
        <v>0.08</v>
      </c>
      <c r="M429" s="13">
        <f t="shared" si="97"/>
        <v>1.992</v>
      </c>
      <c r="N429" s="13">
        <f t="shared" si="98"/>
        <v>4.8219999999999983</v>
      </c>
      <c r="O429" s="15">
        <f t="shared" si="99"/>
        <v>0.19365461847389553</v>
      </c>
      <c r="P429" s="16">
        <f t="shared" si="100"/>
        <v>25.172413793103448</v>
      </c>
      <c r="Q429" s="41">
        <f t="shared" si="101"/>
        <v>0.19999999999999996</v>
      </c>
      <c r="T429" s="42"/>
      <c r="U429" s="16">
        <f t="shared" si="102"/>
        <v>30.206896551724135</v>
      </c>
      <c r="V429" s="41">
        <f t="shared" si="103"/>
        <v>0.16666666666666663</v>
      </c>
      <c r="W429" s="17">
        <f t="shared" si="104"/>
        <v>0.29666666666666663</v>
      </c>
      <c r="X429" s="41">
        <f t="shared" si="105"/>
        <v>0.19999999999999996</v>
      </c>
      <c r="Y429" s="43">
        <f t="shared" si="106"/>
        <v>5.0344827586206886</v>
      </c>
      <c r="Z429" s="43">
        <f t="shared" si="107"/>
        <v>25.172413793103448</v>
      </c>
      <c r="AA429" s="44" t="str">
        <f t="shared" si="108"/>
        <v>OK</v>
      </c>
    </row>
    <row r="430" spans="1:27" ht="15" customHeight="1" x14ac:dyDescent="0.25">
      <c r="A430" s="12" t="s">
        <v>746</v>
      </c>
      <c r="B430" s="40">
        <v>7.65</v>
      </c>
      <c r="C430" s="12" t="s">
        <v>747</v>
      </c>
      <c r="D430" s="40">
        <v>24.9</v>
      </c>
      <c r="E430" s="13">
        <f t="shared" si="110"/>
        <v>3.4860000000000002</v>
      </c>
      <c r="F430" s="14"/>
      <c r="G430" s="15">
        <v>0.14000000000000001</v>
      </c>
      <c r="H430" s="40">
        <v>7.95</v>
      </c>
      <c r="I430" s="40">
        <v>0</v>
      </c>
      <c r="J430" s="13">
        <f t="shared" si="95"/>
        <v>13.463999999999999</v>
      </c>
      <c r="K430" s="13"/>
      <c r="L430" s="15">
        <f t="shared" si="96"/>
        <v>0.08</v>
      </c>
      <c r="M430" s="13">
        <f t="shared" si="97"/>
        <v>1.992</v>
      </c>
      <c r="N430" s="13">
        <f t="shared" si="98"/>
        <v>3.8219999999999983</v>
      </c>
      <c r="O430" s="15">
        <f t="shared" si="99"/>
        <v>0.15349397590361441</v>
      </c>
      <c r="P430" s="16">
        <f t="shared" si="100"/>
        <v>26.896551724137929</v>
      </c>
      <c r="Q430" s="41">
        <f t="shared" si="101"/>
        <v>0.19999999999999998</v>
      </c>
      <c r="T430" s="42"/>
      <c r="U430" s="16">
        <f t="shared" si="102"/>
        <v>32.275862068965516</v>
      </c>
      <c r="V430" s="41">
        <f t="shared" si="103"/>
        <v>0.16666666666666674</v>
      </c>
      <c r="W430" s="17">
        <f t="shared" si="104"/>
        <v>0.29666666666666669</v>
      </c>
      <c r="X430" s="41">
        <f t="shared" si="105"/>
        <v>0.19999999999999998</v>
      </c>
      <c r="Y430" s="43">
        <f t="shared" si="106"/>
        <v>5.3793103448275854</v>
      </c>
      <c r="Z430" s="43">
        <f t="shared" si="107"/>
        <v>26.896551724137929</v>
      </c>
      <c r="AA430" s="44" t="str">
        <f t="shared" si="108"/>
        <v>OK</v>
      </c>
    </row>
    <row r="431" spans="1:27" ht="15" customHeight="1" x14ac:dyDescent="0.25">
      <c r="A431" s="12" t="s">
        <v>748</v>
      </c>
      <c r="B431" s="40">
        <v>16.87</v>
      </c>
      <c r="C431" s="12" t="s">
        <v>749</v>
      </c>
      <c r="D431" s="40">
        <v>41.9</v>
      </c>
      <c r="E431" s="13">
        <f t="shared" si="110"/>
        <v>4.8185000000000002</v>
      </c>
      <c r="F431" s="14"/>
      <c r="G431" s="15">
        <v>0.115</v>
      </c>
      <c r="H431" s="40">
        <v>6.75</v>
      </c>
      <c r="I431" s="40">
        <v>0</v>
      </c>
      <c r="J431" s="13">
        <f t="shared" si="95"/>
        <v>30.331499999999998</v>
      </c>
      <c r="K431" s="13"/>
      <c r="L431" s="15">
        <f t="shared" si="96"/>
        <v>0.08</v>
      </c>
      <c r="M431" s="13">
        <f t="shared" si="97"/>
        <v>3.3519999999999999</v>
      </c>
      <c r="N431" s="13">
        <f t="shared" si="98"/>
        <v>10.109499999999997</v>
      </c>
      <c r="O431" s="15">
        <f t="shared" si="99"/>
        <v>0.24127684964200471</v>
      </c>
      <c r="P431" s="16">
        <f t="shared" si="100"/>
        <v>39.041322314049587</v>
      </c>
      <c r="Q431" s="41">
        <f t="shared" si="101"/>
        <v>0.19999999999999987</v>
      </c>
      <c r="T431" s="42"/>
      <c r="U431" s="16">
        <f t="shared" si="102"/>
        <v>46.849586776859503</v>
      </c>
      <c r="V431" s="41">
        <f t="shared" si="103"/>
        <v>0.16666666666666663</v>
      </c>
      <c r="W431" s="17">
        <f t="shared" si="104"/>
        <v>0.30083333333333334</v>
      </c>
      <c r="X431" s="41">
        <f t="shared" si="105"/>
        <v>0.19999999999999987</v>
      </c>
      <c r="Y431" s="43">
        <f t="shared" si="106"/>
        <v>7.8082644628099125</v>
      </c>
      <c r="Z431" s="43">
        <f t="shared" si="107"/>
        <v>39.041322314049587</v>
      </c>
      <c r="AA431" s="44" t="str">
        <f t="shared" si="108"/>
        <v>OK</v>
      </c>
    </row>
    <row r="432" spans="1:27" ht="15" customHeight="1" x14ac:dyDescent="0.25">
      <c r="A432" s="12" t="s">
        <v>750</v>
      </c>
      <c r="B432" s="40">
        <v>26.5</v>
      </c>
      <c r="C432" s="12" t="s">
        <v>751</v>
      </c>
      <c r="D432" s="40">
        <v>54.9</v>
      </c>
      <c r="E432" s="13">
        <f t="shared" si="110"/>
        <v>6.3135000000000003</v>
      </c>
      <c r="F432" s="14"/>
      <c r="G432" s="15">
        <v>0.115</v>
      </c>
      <c r="H432" s="40">
        <v>6.65</v>
      </c>
      <c r="I432" s="40">
        <v>0</v>
      </c>
      <c r="J432" s="13">
        <f t="shared" si="95"/>
        <v>41.936500000000002</v>
      </c>
      <c r="K432" s="13"/>
      <c r="L432" s="15">
        <f t="shared" si="96"/>
        <v>0.08</v>
      </c>
      <c r="M432" s="13">
        <f t="shared" si="97"/>
        <v>4.3920000000000003</v>
      </c>
      <c r="N432" s="13">
        <f t="shared" si="98"/>
        <v>11.044500000000003</v>
      </c>
      <c r="O432" s="15">
        <f t="shared" si="99"/>
        <v>0.20117486338797819</v>
      </c>
      <c r="P432" s="16">
        <f t="shared" si="100"/>
        <v>54.793388429752063</v>
      </c>
      <c r="Q432" s="41">
        <f t="shared" si="101"/>
        <v>0.2</v>
      </c>
      <c r="T432" s="42"/>
      <c r="U432" s="16">
        <f t="shared" si="102"/>
        <v>65.752066115702476</v>
      </c>
      <c r="V432" s="41">
        <f t="shared" si="103"/>
        <v>0.16666666666666663</v>
      </c>
      <c r="W432" s="17">
        <f t="shared" si="104"/>
        <v>0.30083333333333329</v>
      </c>
      <c r="X432" s="41">
        <f t="shared" si="105"/>
        <v>0.2</v>
      </c>
      <c r="Y432" s="43">
        <f t="shared" si="106"/>
        <v>10.958677685950413</v>
      </c>
      <c r="Z432" s="43">
        <f t="shared" si="107"/>
        <v>54.793388429752063</v>
      </c>
      <c r="AA432" s="44" t="str">
        <f t="shared" si="108"/>
        <v>OK</v>
      </c>
    </row>
    <row r="433" spans="1:27" ht="15" customHeight="1" x14ac:dyDescent="0.25">
      <c r="A433" s="12" t="s">
        <v>752</v>
      </c>
      <c r="B433" s="40">
        <v>13.45</v>
      </c>
      <c r="C433" s="12" t="s">
        <v>753</v>
      </c>
      <c r="D433" s="40">
        <v>33.5</v>
      </c>
      <c r="E433" s="13">
        <f t="shared" si="110"/>
        <v>3.8525</v>
      </c>
      <c r="F433" s="14"/>
      <c r="G433" s="15">
        <v>0.115</v>
      </c>
      <c r="H433" s="40">
        <v>6.95</v>
      </c>
      <c r="I433" s="40">
        <v>0</v>
      </c>
      <c r="J433" s="13">
        <f t="shared" si="95"/>
        <v>22.697500000000002</v>
      </c>
      <c r="K433" s="13"/>
      <c r="L433" s="15">
        <f t="shared" si="96"/>
        <v>0.08</v>
      </c>
      <c r="M433" s="13">
        <f t="shared" si="97"/>
        <v>2.68</v>
      </c>
      <c r="N433" s="13">
        <f t="shared" si="98"/>
        <v>6.5675000000000026</v>
      </c>
      <c r="O433" s="15">
        <f t="shared" si="99"/>
        <v>0.19604477611940307</v>
      </c>
      <c r="P433" s="16">
        <f t="shared" si="100"/>
        <v>33.719008264462808</v>
      </c>
      <c r="Q433" s="41">
        <f t="shared" si="101"/>
        <v>0.19999999999999998</v>
      </c>
      <c r="T433" s="42"/>
      <c r="U433" s="16">
        <f t="shared" si="102"/>
        <v>40.462809917355365</v>
      </c>
      <c r="V433" s="41">
        <f t="shared" si="103"/>
        <v>0.16666666666666663</v>
      </c>
      <c r="W433" s="17">
        <f t="shared" si="104"/>
        <v>0.30083333333333329</v>
      </c>
      <c r="X433" s="41">
        <f t="shared" si="105"/>
        <v>0.19999999999999998</v>
      </c>
      <c r="Y433" s="43">
        <f t="shared" si="106"/>
        <v>6.7438016528925608</v>
      </c>
      <c r="Z433" s="43">
        <f t="shared" si="107"/>
        <v>33.719008264462808</v>
      </c>
      <c r="AA433" s="44" t="str">
        <f t="shared" si="108"/>
        <v>OK</v>
      </c>
    </row>
    <row r="434" spans="1:27" ht="15" customHeight="1" x14ac:dyDescent="0.25">
      <c r="A434" s="12" t="s">
        <v>754</v>
      </c>
      <c r="B434" s="40">
        <v>7.65</v>
      </c>
      <c r="C434" s="12" t="s">
        <v>755</v>
      </c>
      <c r="D434" s="40">
        <v>24.9</v>
      </c>
      <c r="E434" s="13">
        <f t="shared" si="110"/>
        <v>3.4860000000000002</v>
      </c>
      <c r="F434" s="14"/>
      <c r="G434" s="15">
        <v>0.14000000000000001</v>
      </c>
      <c r="H434" s="40">
        <v>8.15</v>
      </c>
      <c r="I434" s="40">
        <v>0</v>
      </c>
      <c r="J434" s="13">
        <f t="shared" si="95"/>
        <v>13.263999999999998</v>
      </c>
      <c r="K434" s="13"/>
      <c r="L434" s="15">
        <f t="shared" si="96"/>
        <v>0.08</v>
      </c>
      <c r="M434" s="13">
        <f t="shared" si="97"/>
        <v>1.992</v>
      </c>
      <c r="N434" s="13">
        <f t="shared" si="98"/>
        <v>3.6219999999999972</v>
      </c>
      <c r="O434" s="15">
        <f t="shared" si="99"/>
        <v>0.14546184738955814</v>
      </c>
      <c r="P434" s="16">
        <f t="shared" si="100"/>
        <v>27.241379310344826</v>
      </c>
      <c r="Q434" s="41">
        <f t="shared" si="101"/>
        <v>0.1999999999999999</v>
      </c>
      <c r="T434" s="42"/>
      <c r="U434" s="16">
        <f t="shared" si="102"/>
        <v>32.689655172413786</v>
      </c>
      <c r="V434" s="41">
        <f t="shared" si="103"/>
        <v>0.16666666666666652</v>
      </c>
      <c r="W434" s="17">
        <f t="shared" si="104"/>
        <v>0.29666666666666663</v>
      </c>
      <c r="X434" s="41">
        <f t="shared" si="105"/>
        <v>0.1999999999999999</v>
      </c>
      <c r="Y434" s="43">
        <f t="shared" si="106"/>
        <v>5.4482758620689626</v>
      </c>
      <c r="Z434" s="43">
        <f t="shared" si="107"/>
        <v>27.241379310344826</v>
      </c>
      <c r="AA434" s="44" t="str">
        <f t="shared" si="108"/>
        <v>OK</v>
      </c>
    </row>
    <row r="435" spans="1:27" ht="15" customHeight="1" x14ac:dyDescent="0.25">
      <c r="A435" s="12" t="s">
        <v>756</v>
      </c>
      <c r="B435" s="40">
        <v>20.6</v>
      </c>
      <c r="C435" s="12" t="s">
        <v>757</v>
      </c>
      <c r="D435" s="40">
        <v>44.9</v>
      </c>
      <c r="E435" s="13">
        <f t="shared" si="110"/>
        <v>5.1635</v>
      </c>
      <c r="F435" s="14"/>
      <c r="G435" s="15">
        <v>0.115</v>
      </c>
      <c r="H435" s="40">
        <v>8.5500000000000007</v>
      </c>
      <c r="I435" s="40">
        <v>0</v>
      </c>
      <c r="J435" s="13">
        <f t="shared" si="95"/>
        <v>31.186499999999999</v>
      </c>
      <c r="K435" s="13"/>
      <c r="L435" s="15">
        <f t="shared" si="96"/>
        <v>0.08</v>
      </c>
      <c r="M435" s="13">
        <f t="shared" si="97"/>
        <v>3.5920000000000001</v>
      </c>
      <c r="N435" s="13">
        <f t="shared" si="98"/>
        <v>6.9944999999999968</v>
      </c>
      <c r="O435" s="15">
        <f t="shared" si="99"/>
        <v>0.15577951002227164</v>
      </c>
      <c r="P435" s="16">
        <f t="shared" si="100"/>
        <v>48.181818181818187</v>
      </c>
      <c r="Q435" s="41">
        <f t="shared" si="101"/>
        <v>0.19999999999999998</v>
      </c>
      <c r="T435" s="42"/>
      <c r="U435" s="16">
        <f t="shared" si="102"/>
        <v>57.81818181818182</v>
      </c>
      <c r="V435" s="41">
        <f t="shared" si="103"/>
        <v>0.16666666666666663</v>
      </c>
      <c r="W435" s="17">
        <f t="shared" si="104"/>
        <v>0.3008333333333334</v>
      </c>
      <c r="X435" s="41">
        <f t="shared" si="105"/>
        <v>0.19999999999999998</v>
      </c>
      <c r="Y435" s="43">
        <f t="shared" si="106"/>
        <v>9.6363636363636367</v>
      </c>
      <c r="Z435" s="43">
        <f t="shared" si="107"/>
        <v>48.181818181818187</v>
      </c>
      <c r="AA435" s="44" t="str">
        <f t="shared" si="108"/>
        <v>OK</v>
      </c>
    </row>
    <row r="436" spans="1:27" ht="15" customHeight="1" x14ac:dyDescent="0.25">
      <c r="A436" s="12" t="s">
        <v>758</v>
      </c>
      <c r="B436" s="40">
        <v>32.74</v>
      </c>
      <c r="C436" s="12" t="s">
        <v>759</v>
      </c>
      <c r="D436" s="40">
        <v>66.989999999999995</v>
      </c>
      <c r="E436" s="13">
        <f t="shared" si="110"/>
        <v>7.7038500000000001</v>
      </c>
      <c r="F436" s="14"/>
      <c r="G436" s="15">
        <v>0.115</v>
      </c>
      <c r="H436" s="40">
        <v>8.5500000000000007</v>
      </c>
      <c r="I436" s="40">
        <v>0</v>
      </c>
      <c r="J436" s="13">
        <f t="shared" si="95"/>
        <v>50.736149999999995</v>
      </c>
      <c r="K436" s="13"/>
      <c r="L436" s="15">
        <f t="shared" si="96"/>
        <v>0.08</v>
      </c>
      <c r="M436" s="13">
        <f t="shared" si="97"/>
        <v>5.3591999999999995</v>
      </c>
      <c r="N436" s="13">
        <f t="shared" si="98"/>
        <v>12.636949999999993</v>
      </c>
      <c r="O436" s="15">
        <f t="shared" si="99"/>
        <v>0.18863934915659045</v>
      </c>
      <c r="P436" s="16">
        <f t="shared" si="100"/>
        <v>68.247933884297538</v>
      </c>
      <c r="Q436" s="41">
        <f t="shared" si="101"/>
        <v>0.20000000000000009</v>
      </c>
      <c r="T436" s="42"/>
      <c r="U436" s="16">
        <f t="shared" si="102"/>
        <v>81.897520661157046</v>
      </c>
      <c r="V436" s="41">
        <f t="shared" si="103"/>
        <v>0.16666666666666663</v>
      </c>
      <c r="W436" s="17">
        <f t="shared" si="104"/>
        <v>0.40523209816743366</v>
      </c>
      <c r="X436" s="41">
        <f t="shared" si="105"/>
        <v>0.20000000000000009</v>
      </c>
      <c r="Y436" s="43">
        <f t="shared" si="106"/>
        <v>13.649586776859515</v>
      </c>
      <c r="Z436" s="43">
        <f t="shared" si="107"/>
        <v>68.247933884297538</v>
      </c>
      <c r="AA436" s="44" t="str">
        <f t="shared" si="108"/>
        <v>OK</v>
      </c>
    </row>
    <row r="437" spans="1:27" ht="15" customHeight="1" x14ac:dyDescent="0.25">
      <c r="A437" s="12" t="s">
        <v>760</v>
      </c>
      <c r="B437" s="40">
        <v>4.0999999999999996</v>
      </c>
      <c r="C437" s="12" t="s">
        <v>761</v>
      </c>
      <c r="D437" s="40">
        <v>16.2</v>
      </c>
      <c r="E437" s="13">
        <f t="shared" si="110"/>
        <v>1.944</v>
      </c>
      <c r="F437" s="14"/>
      <c r="G437" s="15">
        <v>0.12</v>
      </c>
      <c r="H437" s="40">
        <v>8.5500000000000007</v>
      </c>
      <c r="I437" s="40">
        <v>0</v>
      </c>
      <c r="J437" s="13">
        <f t="shared" si="95"/>
        <v>5.7059999999999995</v>
      </c>
      <c r="K437" s="13"/>
      <c r="L437" s="15">
        <f t="shared" si="96"/>
        <v>0.08</v>
      </c>
      <c r="M437" s="13">
        <f t="shared" si="97"/>
        <v>1.296</v>
      </c>
      <c r="N437" s="13">
        <f t="shared" si="98"/>
        <v>0.30999999999999983</v>
      </c>
      <c r="O437" s="15">
        <f t="shared" si="99"/>
        <v>1.9135802469135793E-2</v>
      </c>
      <c r="P437" s="16">
        <f t="shared" si="100"/>
        <v>21.083333333333332</v>
      </c>
      <c r="Q437" s="41">
        <f t="shared" si="101"/>
        <v>0.19999999999999984</v>
      </c>
      <c r="T437" s="42"/>
      <c r="U437" s="16">
        <f t="shared" si="102"/>
        <v>25.299999999999997</v>
      </c>
      <c r="V437" s="41">
        <f t="shared" si="103"/>
        <v>0.16666666666666663</v>
      </c>
      <c r="W437" s="17">
        <f t="shared" si="104"/>
        <v>0.29999999999999982</v>
      </c>
      <c r="X437" s="41">
        <f t="shared" si="105"/>
        <v>0.19999999999999984</v>
      </c>
      <c r="Y437" s="43">
        <f t="shared" si="106"/>
        <v>4.2166666666666632</v>
      </c>
      <c r="Z437" s="43">
        <f t="shared" si="107"/>
        <v>21.083333333333332</v>
      </c>
      <c r="AA437" s="44" t="str">
        <f t="shared" si="108"/>
        <v>OK</v>
      </c>
    </row>
    <row r="438" spans="1:27" ht="15" customHeight="1" x14ac:dyDescent="0.25">
      <c r="A438" s="12" t="s">
        <v>762</v>
      </c>
      <c r="B438" s="40">
        <v>4.0999999999999996</v>
      </c>
      <c r="C438" s="12" t="s">
        <v>763</v>
      </c>
      <c r="D438" s="40">
        <v>16.2</v>
      </c>
      <c r="E438" s="13">
        <f t="shared" si="110"/>
        <v>1.944</v>
      </c>
      <c r="F438" s="14"/>
      <c r="G438" s="15">
        <v>0.12</v>
      </c>
      <c r="H438" s="40">
        <v>6.85</v>
      </c>
      <c r="I438" s="40">
        <v>0</v>
      </c>
      <c r="J438" s="13">
        <f t="shared" si="95"/>
        <v>7.4060000000000006</v>
      </c>
      <c r="K438" s="13"/>
      <c r="L438" s="15">
        <f t="shared" si="96"/>
        <v>0.08</v>
      </c>
      <c r="M438" s="13">
        <f t="shared" si="97"/>
        <v>1.296</v>
      </c>
      <c r="N438" s="13">
        <f t="shared" si="98"/>
        <v>2.0100000000000007</v>
      </c>
      <c r="O438" s="15">
        <f t="shared" si="99"/>
        <v>0.12407407407407411</v>
      </c>
      <c r="P438" s="16">
        <f t="shared" si="100"/>
        <v>18.249999999999996</v>
      </c>
      <c r="Q438" s="41">
        <f t="shared" si="101"/>
        <v>0.19999999999999982</v>
      </c>
      <c r="T438" s="42"/>
      <c r="U438" s="16">
        <f t="shared" si="102"/>
        <v>21.899999999999995</v>
      </c>
      <c r="V438" s="41">
        <f t="shared" si="103"/>
        <v>0.16666666666666663</v>
      </c>
      <c r="W438" s="17">
        <f t="shared" si="104"/>
        <v>0.29999999999999993</v>
      </c>
      <c r="X438" s="41">
        <f t="shared" si="105"/>
        <v>0.19999999999999982</v>
      </c>
      <c r="Y438" s="43">
        <f t="shared" si="106"/>
        <v>3.6499999999999959</v>
      </c>
      <c r="Z438" s="43">
        <f t="shared" si="107"/>
        <v>18.249999999999996</v>
      </c>
      <c r="AA438" s="44" t="str">
        <f t="shared" si="108"/>
        <v>OK</v>
      </c>
    </row>
    <row r="439" spans="1:27" ht="15" customHeight="1" x14ac:dyDescent="0.25">
      <c r="A439" s="12" t="s">
        <v>764</v>
      </c>
      <c r="B439" s="40">
        <v>2.25</v>
      </c>
      <c r="C439" s="12" t="s">
        <v>765</v>
      </c>
      <c r="D439" s="40">
        <v>14.9</v>
      </c>
      <c r="E439" s="13">
        <f t="shared" si="110"/>
        <v>1.788</v>
      </c>
      <c r="F439" s="14"/>
      <c r="G439" s="15">
        <v>0.12</v>
      </c>
      <c r="H439" s="40">
        <v>6.55</v>
      </c>
      <c r="I439" s="40">
        <v>0</v>
      </c>
      <c r="J439" s="13">
        <f t="shared" si="95"/>
        <v>6.5620000000000003</v>
      </c>
      <c r="K439" s="13"/>
      <c r="L439" s="15">
        <f t="shared" si="96"/>
        <v>0.08</v>
      </c>
      <c r="M439" s="13">
        <f t="shared" si="97"/>
        <v>1.1919999999999999</v>
      </c>
      <c r="N439" s="13">
        <f t="shared" si="98"/>
        <v>3.12</v>
      </c>
      <c r="O439" s="15">
        <f t="shared" si="99"/>
        <v>0.20939597315436242</v>
      </c>
      <c r="P439" s="16">
        <f t="shared" si="100"/>
        <v>14.666666666666666</v>
      </c>
      <c r="Q439" s="41">
        <f t="shared" si="101"/>
        <v>0.2</v>
      </c>
      <c r="T439" s="42"/>
      <c r="U439" s="16">
        <f t="shared" si="102"/>
        <v>17.599999999999998</v>
      </c>
      <c r="V439" s="41">
        <f t="shared" si="103"/>
        <v>0.16666666666666663</v>
      </c>
      <c r="W439" s="17">
        <f t="shared" si="104"/>
        <v>0.3</v>
      </c>
      <c r="X439" s="41">
        <f t="shared" si="105"/>
        <v>0.2</v>
      </c>
      <c r="Y439" s="43">
        <f t="shared" si="106"/>
        <v>2.9333333333333336</v>
      </c>
      <c r="Z439" s="43">
        <f t="shared" si="107"/>
        <v>14.666666666666666</v>
      </c>
      <c r="AA439" s="44" t="str">
        <f t="shared" si="108"/>
        <v>OK</v>
      </c>
    </row>
    <row r="440" spans="1:27" ht="15" customHeight="1" x14ac:dyDescent="0.25">
      <c r="A440" s="12" t="s">
        <v>766</v>
      </c>
      <c r="B440" s="40">
        <v>7.5</v>
      </c>
      <c r="C440" s="12" t="s">
        <v>767</v>
      </c>
      <c r="D440" s="40">
        <v>24.5</v>
      </c>
      <c r="E440" s="13">
        <f t="shared" si="110"/>
        <v>3.43</v>
      </c>
      <c r="F440" s="14"/>
      <c r="G440" s="15">
        <v>0.14000000000000001</v>
      </c>
      <c r="H440" s="40">
        <v>6.85</v>
      </c>
      <c r="I440" s="40">
        <v>0</v>
      </c>
      <c r="J440" s="13">
        <f t="shared" si="95"/>
        <v>14.22</v>
      </c>
      <c r="K440" s="13"/>
      <c r="L440" s="15">
        <f t="shared" si="96"/>
        <v>0.08</v>
      </c>
      <c r="M440" s="13">
        <f t="shared" si="97"/>
        <v>1.96</v>
      </c>
      <c r="N440" s="13">
        <f t="shared" si="98"/>
        <v>4.7600000000000007</v>
      </c>
      <c r="O440" s="15">
        <f t="shared" si="99"/>
        <v>0.19428571428571431</v>
      </c>
      <c r="P440" s="16">
        <f t="shared" si="100"/>
        <v>24.741379310344826</v>
      </c>
      <c r="Q440" s="41">
        <f t="shared" si="101"/>
        <v>0.19999999999999998</v>
      </c>
      <c r="T440" s="42"/>
      <c r="U440" s="16">
        <f t="shared" si="102"/>
        <v>29.68965517241379</v>
      </c>
      <c r="V440" s="41">
        <f t="shared" si="103"/>
        <v>0.16666666666666663</v>
      </c>
      <c r="W440" s="17">
        <f t="shared" si="104"/>
        <v>0.29666666666666663</v>
      </c>
      <c r="X440" s="41">
        <f t="shared" si="105"/>
        <v>0.19999999999999998</v>
      </c>
      <c r="Y440" s="43">
        <f t="shared" si="106"/>
        <v>4.9482758620689644</v>
      </c>
      <c r="Z440" s="43">
        <f t="shared" si="107"/>
        <v>24.741379310344826</v>
      </c>
      <c r="AA440" s="44" t="str">
        <f t="shared" si="108"/>
        <v>OK</v>
      </c>
    </row>
    <row r="441" spans="1:27" ht="15" customHeight="1" x14ac:dyDescent="0.25">
      <c r="A441" s="12" t="s">
        <v>768</v>
      </c>
      <c r="B441" s="40">
        <v>7</v>
      </c>
      <c r="C441" s="12" t="s">
        <v>769</v>
      </c>
      <c r="D441" s="40">
        <v>24.5</v>
      </c>
      <c r="E441" s="13">
        <f t="shared" si="110"/>
        <v>2.94</v>
      </c>
      <c r="F441" s="14"/>
      <c r="G441" s="15">
        <v>0.12</v>
      </c>
      <c r="H441" s="40">
        <v>6.85</v>
      </c>
      <c r="I441" s="40">
        <v>0</v>
      </c>
      <c r="J441" s="13">
        <f t="shared" si="95"/>
        <v>14.709999999999999</v>
      </c>
      <c r="K441" s="13"/>
      <c r="L441" s="15">
        <f t="shared" si="96"/>
        <v>0.08</v>
      </c>
      <c r="M441" s="13">
        <f t="shared" si="97"/>
        <v>1.96</v>
      </c>
      <c r="N441" s="13">
        <f t="shared" si="98"/>
        <v>5.7499999999999991</v>
      </c>
      <c r="O441" s="15">
        <f t="shared" si="99"/>
        <v>0.23469387755102036</v>
      </c>
      <c r="P441" s="16">
        <f t="shared" si="100"/>
        <v>23.083333333333329</v>
      </c>
      <c r="Q441" s="41">
        <f t="shared" si="101"/>
        <v>0.1999999999999999</v>
      </c>
      <c r="T441" s="42"/>
      <c r="U441" s="16">
        <f t="shared" si="102"/>
        <v>27.699999999999992</v>
      </c>
      <c r="V441" s="41">
        <f t="shared" si="103"/>
        <v>0.16666666666666663</v>
      </c>
      <c r="W441" s="17">
        <f t="shared" si="104"/>
        <v>0.3</v>
      </c>
      <c r="X441" s="41">
        <f t="shared" si="105"/>
        <v>0.1999999999999999</v>
      </c>
      <c r="Y441" s="43">
        <f t="shared" si="106"/>
        <v>4.6166666666666636</v>
      </c>
      <c r="Z441" s="43">
        <f t="shared" si="107"/>
        <v>23.083333333333329</v>
      </c>
      <c r="AA441" s="44" t="str">
        <f t="shared" si="108"/>
        <v>OK</v>
      </c>
    </row>
    <row r="442" spans="1:27" ht="15" customHeight="1" x14ac:dyDescent="0.25">
      <c r="A442" s="12" t="s">
        <v>770</v>
      </c>
      <c r="B442" s="40">
        <v>7.5</v>
      </c>
      <c r="C442" s="12" t="s">
        <v>771</v>
      </c>
      <c r="D442" s="40">
        <v>24.5</v>
      </c>
      <c r="E442" s="13">
        <f t="shared" si="110"/>
        <v>3.43</v>
      </c>
      <c r="F442" s="14"/>
      <c r="G442" s="15">
        <v>0.14000000000000001</v>
      </c>
      <c r="H442" s="40">
        <v>6.85</v>
      </c>
      <c r="I442" s="40">
        <v>0</v>
      </c>
      <c r="J442" s="13">
        <f t="shared" si="95"/>
        <v>14.22</v>
      </c>
      <c r="K442" s="13"/>
      <c r="L442" s="15">
        <f t="shared" si="96"/>
        <v>0.08</v>
      </c>
      <c r="M442" s="13">
        <f t="shared" si="97"/>
        <v>1.96</v>
      </c>
      <c r="N442" s="13">
        <f t="shared" si="98"/>
        <v>4.7600000000000007</v>
      </c>
      <c r="O442" s="15">
        <f t="shared" si="99"/>
        <v>0.19428571428571431</v>
      </c>
      <c r="P442" s="16">
        <f t="shared" si="100"/>
        <v>24.741379310344826</v>
      </c>
      <c r="Q442" s="41">
        <f t="shared" si="101"/>
        <v>0.19999999999999998</v>
      </c>
      <c r="T442" s="42"/>
      <c r="U442" s="16">
        <f t="shared" si="102"/>
        <v>29.68965517241379</v>
      </c>
      <c r="V442" s="41">
        <f t="shared" si="103"/>
        <v>0.16666666666666663</v>
      </c>
      <c r="W442" s="17">
        <f t="shared" si="104"/>
        <v>0.29666666666666663</v>
      </c>
      <c r="X442" s="41">
        <f t="shared" si="105"/>
        <v>0.19999999999999998</v>
      </c>
      <c r="Y442" s="43">
        <f t="shared" si="106"/>
        <v>4.9482758620689644</v>
      </c>
      <c r="Z442" s="43">
        <f t="shared" si="107"/>
        <v>24.741379310344826</v>
      </c>
      <c r="AA442" s="44" t="str">
        <f t="shared" si="108"/>
        <v>OK</v>
      </c>
    </row>
    <row r="443" spans="1:27" ht="15" customHeight="1" x14ac:dyDescent="0.25">
      <c r="A443" s="12" t="s">
        <v>772</v>
      </c>
      <c r="B443" s="40">
        <v>7.5</v>
      </c>
      <c r="C443" s="12" t="s">
        <v>773</v>
      </c>
      <c r="D443" s="40">
        <v>24.5</v>
      </c>
      <c r="E443" s="13">
        <f t="shared" si="110"/>
        <v>3.43</v>
      </c>
      <c r="F443" s="14"/>
      <c r="G443" s="15">
        <v>0.14000000000000001</v>
      </c>
      <c r="H443" s="40">
        <v>8.5500000000000007</v>
      </c>
      <c r="I443" s="40">
        <v>0</v>
      </c>
      <c r="J443" s="13">
        <f t="shared" si="95"/>
        <v>12.52</v>
      </c>
      <c r="K443" s="13"/>
      <c r="L443" s="15">
        <f t="shared" si="96"/>
        <v>0.08</v>
      </c>
      <c r="M443" s="13">
        <f t="shared" si="97"/>
        <v>1.96</v>
      </c>
      <c r="N443" s="13">
        <f t="shared" si="98"/>
        <v>3.0599999999999996</v>
      </c>
      <c r="O443" s="15">
        <f t="shared" si="99"/>
        <v>0.12489795918367345</v>
      </c>
      <c r="P443" s="16">
        <f t="shared" si="100"/>
        <v>27.672413793103445</v>
      </c>
      <c r="Q443" s="41">
        <f t="shared" si="101"/>
        <v>0.19999999999999993</v>
      </c>
      <c r="T443" s="42"/>
      <c r="U443" s="16">
        <f t="shared" si="102"/>
        <v>33.206896551724135</v>
      </c>
      <c r="V443" s="41">
        <f t="shared" si="103"/>
        <v>0.16666666666666674</v>
      </c>
      <c r="W443" s="17">
        <f t="shared" si="104"/>
        <v>0.29666666666666663</v>
      </c>
      <c r="X443" s="41">
        <f t="shared" si="105"/>
        <v>0.19999999999999993</v>
      </c>
      <c r="Y443" s="43">
        <f t="shared" si="106"/>
        <v>5.5344827586206868</v>
      </c>
      <c r="Z443" s="43">
        <f t="shared" si="107"/>
        <v>27.672413793103445</v>
      </c>
      <c r="AA443" s="44" t="str">
        <f t="shared" si="108"/>
        <v>OK</v>
      </c>
    </row>
    <row r="444" spans="1:27" ht="15" customHeight="1" x14ac:dyDescent="0.25">
      <c r="A444" s="12" t="s">
        <v>774</v>
      </c>
      <c r="B444" s="40">
        <v>7.5</v>
      </c>
      <c r="C444" s="12" t="s">
        <v>775</v>
      </c>
      <c r="D444" s="40">
        <v>24.5</v>
      </c>
      <c r="E444" s="13">
        <f t="shared" si="110"/>
        <v>3.43</v>
      </c>
      <c r="F444" s="14"/>
      <c r="G444" s="15">
        <v>0.14000000000000001</v>
      </c>
      <c r="H444" s="40">
        <v>6.55</v>
      </c>
      <c r="I444" s="40">
        <v>0</v>
      </c>
      <c r="J444" s="13">
        <f t="shared" si="95"/>
        <v>14.52</v>
      </c>
      <c r="K444" s="13"/>
      <c r="L444" s="15">
        <f t="shared" si="96"/>
        <v>0.08</v>
      </c>
      <c r="M444" s="13">
        <f t="shared" si="97"/>
        <v>1.96</v>
      </c>
      <c r="N444" s="13">
        <f t="shared" si="98"/>
        <v>5.0599999999999996</v>
      </c>
      <c r="O444" s="15">
        <f t="shared" si="99"/>
        <v>0.20653061224489794</v>
      </c>
      <c r="P444" s="16">
        <f t="shared" si="100"/>
        <v>24.22413793103448</v>
      </c>
      <c r="Q444" s="41">
        <f t="shared" si="101"/>
        <v>0.19999999999999987</v>
      </c>
      <c r="T444" s="42"/>
      <c r="U444" s="16">
        <f t="shared" si="102"/>
        <v>29.068965517241374</v>
      </c>
      <c r="V444" s="41">
        <f t="shared" si="103"/>
        <v>0.16666666666666663</v>
      </c>
      <c r="W444" s="17">
        <f t="shared" si="104"/>
        <v>0.29666666666666658</v>
      </c>
      <c r="X444" s="41">
        <f t="shared" si="105"/>
        <v>0.19999999999999987</v>
      </c>
      <c r="Y444" s="43">
        <f t="shared" si="106"/>
        <v>4.8448275862068932</v>
      </c>
      <c r="Z444" s="43">
        <f t="shared" si="107"/>
        <v>24.22413793103448</v>
      </c>
      <c r="AA444" s="44" t="str">
        <f t="shared" si="108"/>
        <v>OK</v>
      </c>
    </row>
    <row r="445" spans="1:27" ht="15" customHeight="1" x14ac:dyDescent="0.25">
      <c r="A445" s="12" t="s">
        <v>776</v>
      </c>
      <c r="B445" s="40">
        <v>3.7</v>
      </c>
      <c r="C445" s="12" t="s">
        <v>777</v>
      </c>
      <c r="D445" s="40">
        <v>17.8</v>
      </c>
      <c r="E445" s="13">
        <f t="shared" si="110"/>
        <v>2.1360000000000001</v>
      </c>
      <c r="F445" s="14"/>
      <c r="G445" s="15">
        <v>0.12</v>
      </c>
      <c r="H445" s="40">
        <v>6.55</v>
      </c>
      <c r="I445" s="40">
        <v>0</v>
      </c>
      <c r="J445" s="13">
        <f t="shared" si="95"/>
        <v>9.1140000000000008</v>
      </c>
      <c r="K445" s="13"/>
      <c r="L445" s="15">
        <f t="shared" si="96"/>
        <v>0.08</v>
      </c>
      <c r="M445" s="13">
        <f t="shared" si="97"/>
        <v>1.4240000000000002</v>
      </c>
      <c r="N445" s="13">
        <f t="shared" si="98"/>
        <v>3.99</v>
      </c>
      <c r="O445" s="15">
        <f t="shared" si="99"/>
        <v>0.22415730337078651</v>
      </c>
      <c r="P445" s="16">
        <f t="shared" si="100"/>
        <v>17.083333333333332</v>
      </c>
      <c r="Q445" s="41">
        <f t="shared" si="101"/>
        <v>0.19999999999999982</v>
      </c>
      <c r="T445" s="42"/>
      <c r="U445" s="16">
        <f t="shared" si="102"/>
        <v>20.499999999999996</v>
      </c>
      <c r="V445" s="41">
        <f t="shared" si="103"/>
        <v>0.16666666666666663</v>
      </c>
      <c r="W445" s="17">
        <f t="shared" si="104"/>
        <v>0.29999999999999977</v>
      </c>
      <c r="X445" s="41">
        <f t="shared" si="105"/>
        <v>0.19999999999999982</v>
      </c>
      <c r="Y445" s="43">
        <f t="shared" si="106"/>
        <v>3.4166666666666634</v>
      </c>
      <c r="Z445" s="43">
        <f t="shared" si="107"/>
        <v>17.083333333333332</v>
      </c>
      <c r="AA445" s="44" t="str">
        <f t="shared" si="108"/>
        <v>OK</v>
      </c>
    </row>
    <row r="446" spans="1:27" ht="15" customHeight="1" x14ac:dyDescent="0.25">
      <c r="A446" s="12" t="s">
        <v>778</v>
      </c>
      <c r="B446" s="40">
        <v>11.06</v>
      </c>
      <c r="C446" s="12" t="s">
        <v>779</v>
      </c>
      <c r="D446" s="40">
        <v>29.9</v>
      </c>
      <c r="E446" s="13">
        <f t="shared" si="110"/>
        <v>3.5879999999999996</v>
      </c>
      <c r="F446" s="14"/>
      <c r="G446" s="15">
        <v>0.12</v>
      </c>
      <c r="H446" s="40">
        <v>6.65</v>
      </c>
      <c r="I446" s="40">
        <v>0</v>
      </c>
      <c r="J446" s="13">
        <f t="shared" si="95"/>
        <v>19.661999999999999</v>
      </c>
      <c r="K446" s="13"/>
      <c r="L446" s="15">
        <f t="shared" si="96"/>
        <v>0.08</v>
      </c>
      <c r="M446" s="13">
        <f t="shared" si="97"/>
        <v>2.3919999999999999</v>
      </c>
      <c r="N446" s="13">
        <f t="shared" si="98"/>
        <v>6.2099999999999991</v>
      </c>
      <c r="O446" s="15">
        <f t="shared" si="99"/>
        <v>0.20769230769230768</v>
      </c>
      <c r="P446" s="16">
        <f t="shared" si="100"/>
        <v>29.516666666666662</v>
      </c>
      <c r="Q446" s="41">
        <f t="shared" si="101"/>
        <v>0.19999999999999993</v>
      </c>
      <c r="T446" s="42"/>
      <c r="U446" s="16">
        <f t="shared" si="102"/>
        <v>35.419999999999995</v>
      </c>
      <c r="V446" s="41">
        <f t="shared" si="103"/>
        <v>0.16666666666666663</v>
      </c>
      <c r="W446" s="17">
        <f t="shared" si="104"/>
        <v>0.29999999999999993</v>
      </c>
      <c r="X446" s="41">
        <f t="shared" si="105"/>
        <v>0.19999999999999993</v>
      </c>
      <c r="Y446" s="43">
        <f t="shared" si="106"/>
        <v>5.9033333333333307</v>
      </c>
      <c r="Z446" s="43">
        <f t="shared" si="107"/>
        <v>29.516666666666662</v>
      </c>
      <c r="AA446" s="44" t="str">
        <f t="shared" si="108"/>
        <v>OK</v>
      </c>
    </row>
    <row r="447" spans="1:27" ht="15" customHeight="1" x14ac:dyDescent="0.25">
      <c r="A447" s="12" t="s">
        <v>780</v>
      </c>
      <c r="B447" s="40">
        <v>5.73</v>
      </c>
      <c r="C447" s="12" t="s">
        <v>781</v>
      </c>
      <c r="D447" s="40">
        <v>20.5</v>
      </c>
      <c r="E447" s="13">
        <f t="shared" si="110"/>
        <v>2.46</v>
      </c>
      <c r="F447" s="14"/>
      <c r="G447" s="15">
        <v>0.12</v>
      </c>
      <c r="H447" s="40">
        <v>6.65</v>
      </c>
      <c r="I447" s="40">
        <v>0</v>
      </c>
      <c r="J447" s="13">
        <f t="shared" si="95"/>
        <v>11.389999999999999</v>
      </c>
      <c r="K447" s="13"/>
      <c r="L447" s="15">
        <f t="shared" si="96"/>
        <v>0.08</v>
      </c>
      <c r="M447" s="13">
        <f t="shared" si="97"/>
        <v>1.6400000000000001</v>
      </c>
      <c r="N447" s="13">
        <f t="shared" si="98"/>
        <v>4.0199999999999978</v>
      </c>
      <c r="O447" s="15">
        <f t="shared" si="99"/>
        <v>0.19609756097560965</v>
      </c>
      <c r="P447" s="16">
        <f t="shared" si="100"/>
        <v>20.633333333333333</v>
      </c>
      <c r="Q447" s="41">
        <f t="shared" si="101"/>
        <v>0.2</v>
      </c>
      <c r="T447" s="42"/>
      <c r="U447" s="16">
        <f t="shared" si="102"/>
        <v>24.759999999999998</v>
      </c>
      <c r="V447" s="41">
        <f t="shared" si="103"/>
        <v>0.16666666666666663</v>
      </c>
      <c r="W447" s="17">
        <f t="shared" si="104"/>
        <v>0.29999999999999993</v>
      </c>
      <c r="X447" s="41">
        <f t="shared" si="105"/>
        <v>0.2</v>
      </c>
      <c r="Y447" s="43">
        <f t="shared" si="106"/>
        <v>4.1266666666666669</v>
      </c>
      <c r="Z447" s="43">
        <f t="shared" si="107"/>
        <v>20.633333333333333</v>
      </c>
      <c r="AA447" s="44" t="str">
        <f t="shared" si="108"/>
        <v>OK</v>
      </c>
    </row>
    <row r="448" spans="1:27" ht="15" customHeight="1" x14ac:dyDescent="0.25">
      <c r="A448" s="12" t="s">
        <v>782</v>
      </c>
      <c r="B448" s="40">
        <v>8.3000000000000007</v>
      </c>
      <c r="C448" s="12" t="s">
        <v>783</v>
      </c>
      <c r="D448" s="40">
        <v>23.99</v>
      </c>
      <c r="E448" s="13">
        <f t="shared" si="110"/>
        <v>2.7588499999999998</v>
      </c>
      <c r="F448" s="14"/>
      <c r="G448" s="15">
        <v>0.115</v>
      </c>
      <c r="H448" s="40">
        <v>8.5500000000000007</v>
      </c>
      <c r="I448" s="40">
        <v>0</v>
      </c>
      <c r="J448" s="13">
        <f t="shared" si="95"/>
        <v>12.681149999999999</v>
      </c>
      <c r="K448" s="13"/>
      <c r="L448" s="15">
        <f t="shared" si="96"/>
        <v>0.08</v>
      </c>
      <c r="M448" s="13">
        <f t="shared" si="97"/>
        <v>1.9192</v>
      </c>
      <c r="N448" s="13">
        <f t="shared" si="98"/>
        <v>2.4619499999999981</v>
      </c>
      <c r="O448" s="15">
        <f t="shared" si="99"/>
        <v>0.10262401000416833</v>
      </c>
      <c r="P448" s="16">
        <f t="shared" si="100"/>
        <v>27.851239669421492</v>
      </c>
      <c r="Q448" s="41">
        <f t="shared" si="101"/>
        <v>0.20000000000000004</v>
      </c>
      <c r="T448" s="42"/>
      <c r="U448" s="16">
        <f t="shared" si="102"/>
        <v>33.421487603305792</v>
      </c>
      <c r="V448" s="41">
        <f t="shared" si="103"/>
        <v>0.16666666666666674</v>
      </c>
      <c r="W448" s="17">
        <f t="shared" si="104"/>
        <v>0.30083333333333345</v>
      </c>
      <c r="X448" s="41">
        <f t="shared" si="105"/>
        <v>0.20000000000000004</v>
      </c>
      <c r="Y448" s="43">
        <f t="shared" si="106"/>
        <v>5.5702479338842998</v>
      </c>
      <c r="Z448" s="43">
        <f t="shared" si="107"/>
        <v>27.851239669421492</v>
      </c>
      <c r="AA448" s="44" t="str">
        <f t="shared" si="108"/>
        <v>OK</v>
      </c>
    </row>
    <row r="449" spans="1:27" ht="15" customHeight="1" x14ac:dyDescent="0.25">
      <c r="A449" s="12" t="s">
        <v>784</v>
      </c>
      <c r="B449" s="40">
        <v>8.3000000000000007</v>
      </c>
      <c r="C449" s="12" t="s">
        <v>785</v>
      </c>
      <c r="D449" s="40">
        <v>23.99</v>
      </c>
      <c r="E449" s="13">
        <f t="shared" si="110"/>
        <v>2.7588499999999998</v>
      </c>
      <c r="F449" s="14"/>
      <c r="G449" s="15">
        <v>0.115</v>
      </c>
      <c r="H449" s="40">
        <v>8.5500000000000007</v>
      </c>
      <c r="I449" s="40">
        <v>0</v>
      </c>
      <c r="J449" s="13">
        <f t="shared" si="95"/>
        <v>12.681149999999999</v>
      </c>
      <c r="K449" s="13"/>
      <c r="L449" s="15">
        <f t="shared" si="96"/>
        <v>0.08</v>
      </c>
      <c r="M449" s="13">
        <f t="shared" si="97"/>
        <v>1.9192</v>
      </c>
      <c r="N449" s="13">
        <f t="shared" si="98"/>
        <v>2.4619499999999981</v>
      </c>
      <c r="O449" s="15">
        <f t="shared" si="99"/>
        <v>0.10262401000416833</v>
      </c>
      <c r="P449" s="16">
        <f t="shared" si="100"/>
        <v>27.851239669421492</v>
      </c>
      <c r="Q449" s="41">
        <f t="shared" si="101"/>
        <v>0.20000000000000004</v>
      </c>
      <c r="T449" s="42"/>
      <c r="U449" s="16">
        <f t="shared" si="102"/>
        <v>33.421487603305792</v>
      </c>
      <c r="V449" s="41">
        <f t="shared" si="103"/>
        <v>0.16666666666666674</v>
      </c>
      <c r="W449" s="17">
        <f t="shared" si="104"/>
        <v>0.30083333333333345</v>
      </c>
      <c r="X449" s="41">
        <f t="shared" si="105"/>
        <v>0.20000000000000004</v>
      </c>
      <c r="Y449" s="43">
        <f t="shared" si="106"/>
        <v>5.5702479338842998</v>
      </c>
      <c r="Z449" s="43">
        <f t="shared" si="107"/>
        <v>27.851239669421492</v>
      </c>
      <c r="AA449" s="44" t="str">
        <f t="shared" si="108"/>
        <v>OK</v>
      </c>
    </row>
    <row r="450" spans="1:27" ht="15" customHeight="1" x14ac:dyDescent="0.25">
      <c r="A450" s="12" t="s">
        <v>786</v>
      </c>
      <c r="B450" s="40">
        <v>4.3</v>
      </c>
      <c r="C450" s="12" t="s">
        <v>787</v>
      </c>
      <c r="D450" s="40">
        <v>17.989999999999998</v>
      </c>
      <c r="E450" s="13">
        <f t="shared" si="110"/>
        <v>2.0688499999999999</v>
      </c>
      <c r="F450" s="14"/>
      <c r="G450" s="15">
        <v>0.115</v>
      </c>
      <c r="H450" s="40">
        <v>8.5500000000000007</v>
      </c>
      <c r="I450" s="40">
        <v>0</v>
      </c>
      <c r="J450" s="13">
        <f t="shared" si="95"/>
        <v>7.3711499999999983</v>
      </c>
      <c r="K450" s="13"/>
      <c r="L450" s="15">
        <f t="shared" si="96"/>
        <v>0.08</v>
      </c>
      <c r="M450" s="13">
        <f t="shared" si="97"/>
        <v>1.4391999999999998</v>
      </c>
      <c r="N450" s="13">
        <f t="shared" si="98"/>
        <v>1.6319499999999987</v>
      </c>
      <c r="O450" s="15">
        <f t="shared" si="99"/>
        <v>9.071428571428565E-2</v>
      </c>
      <c r="P450" s="16">
        <f t="shared" si="100"/>
        <v>21.239669421487605</v>
      </c>
      <c r="Q450" s="41">
        <f t="shared" si="101"/>
        <v>0.20000000000000009</v>
      </c>
      <c r="T450" s="42"/>
      <c r="U450" s="16">
        <f t="shared" si="102"/>
        <v>25.487603305785125</v>
      </c>
      <c r="V450" s="41">
        <f t="shared" si="103"/>
        <v>0.16666666666666663</v>
      </c>
      <c r="W450" s="17">
        <f t="shared" si="104"/>
        <v>0.3008333333333334</v>
      </c>
      <c r="X450" s="41">
        <f t="shared" si="105"/>
        <v>0.20000000000000009</v>
      </c>
      <c r="Y450" s="43">
        <f t="shared" si="106"/>
        <v>4.2479338842975229</v>
      </c>
      <c r="Z450" s="43">
        <f t="shared" si="107"/>
        <v>21.239669421487605</v>
      </c>
      <c r="AA450" s="44" t="str">
        <f t="shared" si="108"/>
        <v>OK</v>
      </c>
    </row>
    <row r="451" spans="1:27" ht="15" customHeight="1" x14ac:dyDescent="0.25">
      <c r="A451" s="12" t="s">
        <v>788</v>
      </c>
      <c r="B451" s="40">
        <v>4.3</v>
      </c>
      <c r="C451" s="12" t="s">
        <v>789</v>
      </c>
      <c r="D451" s="40">
        <v>17.989999999999998</v>
      </c>
      <c r="E451" s="13">
        <f t="shared" si="110"/>
        <v>2.0688499999999999</v>
      </c>
      <c r="F451" s="14"/>
      <c r="G451" s="15">
        <v>0.115</v>
      </c>
      <c r="H451" s="40">
        <v>8.5500000000000007</v>
      </c>
      <c r="I451" s="40">
        <v>0</v>
      </c>
      <c r="J451" s="13">
        <f t="shared" ref="J451:J475" si="111">D451-IFERROR(E451,0)-IFERROR(F451,0)-IF(D451&lt;79,H451,0)-IF(D451&gt;=79,I451,0)</f>
        <v>7.3711499999999983</v>
      </c>
      <c r="K451" s="13"/>
      <c r="L451" s="15">
        <f t="shared" ref="L451:L475" si="112">$K$2</f>
        <v>0.08</v>
      </c>
      <c r="M451" s="13">
        <f t="shared" ref="M451:M475" si="113">D451*$K$2</f>
        <v>1.4391999999999998</v>
      </c>
      <c r="N451" s="13">
        <f t="shared" ref="N451:N475" si="114">J451-IF(ISNUMBER(B451),B451,0)-M451</f>
        <v>1.6319499999999987</v>
      </c>
      <c r="O451" s="15">
        <f t="shared" ref="O451:O475" si="115">IFERROR(N451/D451,0)</f>
        <v>9.071428571428565E-2</v>
      </c>
      <c r="P451" s="16">
        <f t="shared" ref="P451:P475" si="116">IF(NOT(ISNUMBER(B451)),"",IF((1-G451-$K$2-$Q$2)&lt;=0,"erro",IF((B451+H451)/(1-G451-$K$2-$Q$2)&lt;79,(B451+H451)/(1-G451-$K$2-$Q$2),IF((78.99-78.99*G451-H451-78.99*$K$2-B451)/78.99&gt;=$R$2,78.99,IF((B451+I451)/(1-G451-$K$2-$Q$2)&gt;=79,(B451+I451)/(1-G451-$K$2-$Q$2),MAX(79,(B451+I451)/(1-G451-$K$2-$R$2)))))))</f>
        <v>21.239669421487605</v>
      </c>
      <c r="Q451" s="41">
        <f t="shared" ref="Q451:Q475" si="117">IF(NOT(ISNUMBER(P451)),"",(P451-P451*G451-IF(P451&lt;79,H451,I451)-P451*$K$2-B451)/P451)</f>
        <v>0.20000000000000009</v>
      </c>
      <c r="T451" s="42"/>
      <c r="U451" s="16">
        <f t="shared" ref="U451:U475" si="118">IF(NOT(ISNUMBER(P451)),"",P451*(1+$T$2))</f>
        <v>25.487603305785125</v>
      </c>
      <c r="V451" s="41">
        <f t="shared" ref="V451:V475" si="119">IF(NOT(ISNUMBER(U451)),"",1-P451/U451)</f>
        <v>0.16666666666666663</v>
      </c>
      <c r="W451" s="17">
        <f t="shared" ref="W451:W475" si="120">IF(NOT(ISNUMBER(U451)),"",(U451-U451*G451-IF(U451&lt;79,H451,I451)-U451*$K$2-B451)/U451)</f>
        <v>0.3008333333333334</v>
      </c>
      <c r="X451" s="41">
        <f t="shared" ref="X451:X475" si="121">IF(NOT(ISNUMBER(P451)),"",(P451-P451*G451-IF(P451&lt;79,H451,I451)-P451*$K$2-B451)/P451)</f>
        <v>0.20000000000000009</v>
      </c>
      <c r="Y451" s="43">
        <f t="shared" ref="Y451:Y475" si="122">IF(NOT(ISNUMBER(P451)),"",P451-P451*G451-IF(P451&lt;79,H451,I451)-P451*$K$2-B451)</f>
        <v>4.2479338842975229</v>
      </c>
      <c r="Z451" s="43">
        <f t="shared" ref="Z451:Z475" si="123">IF(NOT(ISNUMBER(P451)),"",P451)</f>
        <v>21.239669421487605</v>
      </c>
      <c r="AA451" s="44" t="str">
        <f t="shared" ref="AA451:AA475" si="124">IF(NOT(ISNUMBER(B451)),"Sem custo",IF(NOT(ISNUMBER(P451)),"",IF(AND(P451&gt;=79,I451=0),"⚠ Subiu p/ frete (I=0)",IF(ABS(P451-78.99)&lt;0.01,"Forçado &lt;79 (evita frete)",IF(AND(P451&gt;=79,Q451&lt;$Q$2-0.001),"Subiu p/ frete (min R2)",IF(Q451&lt;$R$2-0.001,"⚠ Margem abaixo do mínimo","OK"))))))</f>
        <v>OK</v>
      </c>
    </row>
    <row r="452" spans="1:27" ht="15" customHeight="1" x14ac:dyDescent="0.25">
      <c r="A452" s="12" t="s">
        <v>790</v>
      </c>
      <c r="B452" s="40">
        <v>4.0999999999999996</v>
      </c>
      <c r="C452" s="12" t="s">
        <v>791</v>
      </c>
      <c r="D452" s="40">
        <v>16.2</v>
      </c>
      <c r="E452" s="13">
        <f t="shared" si="110"/>
        <v>1.944</v>
      </c>
      <c r="F452" s="14"/>
      <c r="G452" s="15">
        <v>0.12</v>
      </c>
      <c r="H452" s="40">
        <v>8.5500000000000007</v>
      </c>
      <c r="I452" s="40">
        <v>0</v>
      </c>
      <c r="J452" s="13">
        <f t="shared" si="111"/>
        <v>5.7059999999999995</v>
      </c>
      <c r="K452" s="13"/>
      <c r="L452" s="15">
        <f t="shared" si="112"/>
        <v>0.08</v>
      </c>
      <c r="M452" s="13">
        <f t="shared" si="113"/>
        <v>1.296</v>
      </c>
      <c r="N452" s="13">
        <f t="shared" si="114"/>
        <v>0.30999999999999983</v>
      </c>
      <c r="O452" s="15">
        <f t="shared" si="115"/>
        <v>1.9135802469135793E-2</v>
      </c>
      <c r="P452" s="16">
        <f t="shared" si="116"/>
        <v>21.083333333333332</v>
      </c>
      <c r="Q452" s="41">
        <f t="shared" si="117"/>
        <v>0.19999999999999984</v>
      </c>
      <c r="T452" s="42"/>
      <c r="U452" s="16">
        <f t="shared" si="118"/>
        <v>25.299999999999997</v>
      </c>
      <c r="V452" s="41">
        <f t="shared" si="119"/>
        <v>0.16666666666666663</v>
      </c>
      <c r="W452" s="17">
        <f t="shared" si="120"/>
        <v>0.29999999999999982</v>
      </c>
      <c r="X452" s="41">
        <f t="shared" si="121"/>
        <v>0.19999999999999984</v>
      </c>
      <c r="Y452" s="43">
        <f t="shared" si="122"/>
        <v>4.2166666666666632</v>
      </c>
      <c r="Z452" s="43">
        <f t="shared" si="123"/>
        <v>21.083333333333332</v>
      </c>
      <c r="AA452" s="44" t="str">
        <f t="shared" si="124"/>
        <v>OK</v>
      </c>
    </row>
    <row r="453" spans="1:27" ht="15" customHeight="1" x14ac:dyDescent="0.25">
      <c r="A453" s="12" t="s">
        <v>792</v>
      </c>
      <c r="B453" s="40">
        <v>2.25</v>
      </c>
      <c r="C453" s="12" t="s">
        <v>793</v>
      </c>
      <c r="D453" s="40">
        <v>14.9</v>
      </c>
      <c r="E453" s="13">
        <f t="shared" si="110"/>
        <v>1.788</v>
      </c>
      <c r="F453" s="14"/>
      <c r="G453" s="15">
        <v>0.12</v>
      </c>
      <c r="H453" s="40">
        <v>6.85</v>
      </c>
      <c r="I453" s="40">
        <v>0</v>
      </c>
      <c r="J453" s="13">
        <f t="shared" si="111"/>
        <v>6.2620000000000005</v>
      </c>
      <c r="K453" s="13"/>
      <c r="L453" s="15">
        <f t="shared" si="112"/>
        <v>0.08</v>
      </c>
      <c r="M453" s="13">
        <f t="shared" si="113"/>
        <v>1.1919999999999999</v>
      </c>
      <c r="N453" s="13">
        <f t="shared" si="114"/>
        <v>2.8200000000000003</v>
      </c>
      <c r="O453" s="15">
        <f t="shared" si="115"/>
        <v>0.18926174496644296</v>
      </c>
      <c r="P453" s="16">
        <f t="shared" si="116"/>
        <v>15.166666666666664</v>
      </c>
      <c r="Q453" s="41">
        <f t="shared" si="117"/>
        <v>0.1999999999999999</v>
      </c>
      <c r="T453" s="42"/>
      <c r="U453" s="16">
        <f t="shared" si="118"/>
        <v>18.199999999999996</v>
      </c>
      <c r="V453" s="41">
        <f t="shared" si="119"/>
        <v>0.16666666666666663</v>
      </c>
      <c r="W453" s="17">
        <f t="shared" si="120"/>
        <v>0.30000000000000004</v>
      </c>
      <c r="X453" s="41">
        <f t="shared" si="121"/>
        <v>0.1999999999999999</v>
      </c>
      <c r="Y453" s="43">
        <f t="shared" si="122"/>
        <v>3.0333333333333314</v>
      </c>
      <c r="Z453" s="43">
        <f t="shared" si="123"/>
        <v>15.166666666666664</v>
      </c>
      <c r="AA453" s="44" t="str">
        <f t="shared" si="124"/>
        <v>OK</v>
      </c>
    </row>
    <row r="454" spans="1:27" ht="15" customHeight="1" x14ac:dyDescent="0.25">
      <c r="A454" s="12" t="s">
        <v>794</v>
      </c>
      <c r="B454" s="40">
        <v>2.25</v>
      </c>
      <c r="C454" s="12" t="s">
        <v>795</v>
      </c>
      <c r="D454" s="40">
        <v>14.9</v>
      </c>
      <c r="E454" s="13">
        <f t="shared" si="110"/>
        <v>1.788</v>
      </c>
      <c r="F454" s="14"/>
      <c r="G454" s="15">
        <v>0.12</v>
      </c>
      <c r="H454" s="40">
        <v>6.55</v>
      </c>
      <c r="I454" s="40">
        <v>0</v>
      </c>
      <c r="J454" s="13">
        <f t="shared" si="111"/>
        <v>6.5620000000000003</v>
      </c>
      <c r="K454" s="13"/>
      <c r="L454" s="15">
        <f t="shared" si="112"/>
        <v>0.08</v>
      </c>
      <c r="M454" s="13">
        <f t="shared" si="113"/>
        <v>1.1919999999999999</v>
      </c>
      <c r="N454" s="13">
        <f t="shared" si="114"/>
        <v>3.12</v>
      </c>
      <c r="O454" s="15">
        <f t="shared" si="115"/>
        <v>0.20939597315436242</v>
      </c>
      <c r="P454" s="16">
        <f t="shared" si="116"/>
        <v>14.666666666666666</v>
      </c>
      <c r="Q454" s="41">
        <f t="shared" si="117"/>
        <v>0.2</v>
      </c>
      <c r="T454" s="42"/>
      <c r="U454" s="16">
        <f t="shared" si="118"/>
        <v>17.599999999999998</v>
      </c>
      <c r="V454" s="41">
        <f t="shared" si="119"/>
        <v>0.16666666666666663</v>
      </c>
      <c r="W454" s="17">
        <f t="shared" si="120"/>
        <v>0.3</v>
      </c>
      <c r="X454" s="41">
        <f t="shared" si="121"/>
        <v>0.2</v>
      </c>
      <c r="Y454" s="43">
        <f t="shared" si="122"/>
        <v>2.9333333333333336</v>
      </c>
      <c r="Z454" s="43">
        <f t="shared" si="123"/>
        <v>14.666666666666666</v>
      </c>
      <c r="AA454" s="44" t="str">
        <f t="shared" si="124"/>
        <v>OK</v>
      </c>
    </row>
    <row r="455" spans="1:27" ht="15" customHeight="1" x14ac:dyDescent="0.25">
      <c r="A455" s="12" t="s">
        <v>796</v>
      </c>
      <c r="B455" s="40">
        <v>7.5</v>
      </c>
      <c r="C455" s="12" t="s">
        <v>797</v>
      </c>
      <c r="D455" s="40">
        <v>24.5</v>
      </c>
      <c r="E455" s="13">
        <f t="shared" si="110"/>
        <v>3.43</v>
      </c>
      <c r="F455" s="14"/>
      <c r="G455" s="15">
        <v>0.14000000000000001</v>
      </c>
      <c r="H455" s="40">
        <v>6.55</v>
      </c>
      <c r="I455" s="40">
        <v>0</v>
      </c>
      <c r="J455" s="13">
        <f t="shared" si="111"/>
        <v>14.52</v>
      </c>
      <c r="K455" s="13"/>
      <c r="L455" s="15">
        <f t="shared" si="112"/>
        <v>0.08</v>
      </c>
      <c r="M455" s="13">
        <f t="shared" si="113"/>
        <v>1.96</v>
      </c>
      <c r="N455" s="13">
        <f t="shared" si="114"/>
        <v>5.0599999999999996</v>
      </c>
      <c r="O455" s="15">
        <f t="shared" si="115"/>
        <v>0.20653061224489794</v>
      </c>
      <c r="P455" s="16">
        <f t="shared" si="116"/>
        <v>24.22413793103448</v>
      </c>
      <c r="Q455" s="41">
        <f t="shared" si="117"/>
        <v>0.19999999999999987</v>
      </c>
      <c r="T455" s="42"/>
      <c r="U455" s="16">
        <f t="shared" si="118"/>
        <v>29.068965517241374</v>
      </c>
      <c r="V455" s="41">
        <f t="shared" si="119"/>
        <v>0.16666666666666663</v>
      </c>
      <c r="W455" s="17">
        <f t="shared" si="120"/>
        <v>0.29666666666666658</v>
      </c>
      <c r="X455" s="41">
        <f t="shared" si="121"/>
        <v>0.19999999999999987</v>
      </c>
      <c r="Y455" s="43">
        <f t="shared" si="122"/>
        <v>4.8448275862068932</v>
      </c>
      <c r="Z455" s="43">
        <f t="shared" si="123"/>
        <v>24.22413793103448</v>
      </c>
      <c r="AA455" s="44" t="str">
        <f t="shared" si="124"/>
        <v>OK</v>
      </c>
    </row>
    <row r="456" spans="1:27" ht="15" customHeight="1" x14ac:dyDescent="0.25">
      <c r="A456" s="12" t="s">
        <v>798</v>
      </c>
      <c r="B456" s="40">
        <v>11.06</v>
      </c>
      <c r="C456" s="12" t="s">
        <v>799</v>
      </c>
      <c r="D456" s="40">
        <v>29.9</v>
      </c>
      <c r="E456" s="13">
        <f t="shared" si="110"/>
        <v>3.5879999999999996</v>
      </c>
      <c r="F456" s="14"/>
      <c r="G456" s="15">
        <v>0.12</v>
      </c>
      <c r="H456" s="40">
        <v>6.55</v>
      </c>
      <c r="I456" s="40">
        <v>0</v>
      </c>
      <c r="J456" s="13">
        <f t="shared" si="111"/>
        <v>19.761999999999997</v>
      </c>
      <c r="K456" s="13"/>
      <c r="L456" s="15">
        <f t="shared" si="112"/>
        <v>0.08</v>
      </c>
      <c r="M456" s="13">
        <f t="shared" si="113"/>
        <v>2.3919999999999999</v>
      </c>
      <c r="N456" s="13">
        <f t="shared" si="114"/>
        <v>6.3099999999999969</v>
      </c>
      <c r="O456" s="15">
        <f t="shared" si="115"/>
        <v>0.21103678929765876</v>
      </c>
      <c r="P456" s="16">
        <f t="shared" si="116"/>
        <v>29.349999999999994</v>
      </c>
      <c r="Q456" s="41">
        <f t="shared" si="117"/>
        <v>0.1999999999999999</v>
      </c>
      <c r="T456" s="42"/>
      <c r="U456" s="16">
        <f t="shared" si="118"/>
        <v>35.219999999999992</v>
      </c>
      <c r="V456" s="41">
        <f t="shared" si="119"/>
        <v>0.16666666666666663</v>
      </c>
      <c r="W456" s="17">
        <f t="shared" si="120"/>
        <v>0.29999999999999988</v>
      </c>
      <c r="X456" s="41">
        <f t="shared" si="121"/>
        <v>0.1999999999999999</v>
      </c>
      <c r="Y456" s="43">
        <f t="shared" si="122"/>
        <v>5.8699999999999957</v>
      </c>
      <c r="Z456" s="43">
        <f t="shared" si="123"/>
        <v>29.349999999999994</v>
      </c>
      <c r="AA456" s="44" t="str">
        <f t="shared" si="124"/>
        <v>OK</v>
      </c>
    </row>
    <row r="457" spans="1:27" ht="15" customHeight="1" x14ac:dyDescent="0.25">
      <c r="A457" s="12" t="s">
        <v>800</v>
      </c>
      <c r="B457" s="40">
        <v>11.06</v>
      </c>
      <c r="C457" s="12" t="s">
        <v>801</v>
      </c>
      <c r="D457" s="40">
        <v>29.9</v>
      </c>
      <c r="E457" s="13">
        <f t="shared" si="110"/>
        <v>3.5879999999999996</v>
      </c>
      <c r="F457" s="14"/>
      <c r="G457" s="15">
        <v>0.12</v>
      </c>
      <c r="H457" s="40">
        <v>6.55</v>
      </c>
      <c r="I457" s="40">
        <v>0</v>
      </c>
      <c r="J457" s="13">
        <f t="shared" si="111"/>
        <v>19.761999999999997</v>
      </c>
      <c r="K457" s="13"/>
      <c r="L457" s="15">
        <f t="shared" si="112"/>
        <v>0.08</v>
      </c>
      <c r="M457" s="13">
        <f t="shared" si="113"/>
        <v>2.3919999999999999</v>
      </c>
      <c r="N457" s="13">
        <f t="shared" si="114"/>
        <v>6.3099999999999969</v>
      </c>
      <c r="O457" s="15">
        <f t="shared" si="115"/>
        <v>0.21103678929765876</v>
      </c>
      <c r="P457" s="16">
        <f t="shared" si="116"/>
        <v>29.349999999999994</v>
      </c>
      <c r="Q457" s="41">
        <f t="shared" si="117"/>
        <v>0.1999999999999999</v>
      </c>
      <c r="T457" s="42"/>
      <c r="U457" s="16">
        <f t="shared" si="118"/>
        <v>35.219999999999992</v>
      </c>
      <c r="V457" s="41">
        <f t="shared" si="119"/>
        <v>0.16666666666666663</v>
      </c>
      <c r="W457" s="17">
        <f t="shared" si="120"/>
        <v>0.29999999999999988</v>
      </c>
      <c r="X457" s="41">
        <f t="shared" si="121"/>
        <v>0.1999999999999999</v>
      </c>
      <c r="Y457" s="43">
        <f t="shared" si="122"/>
        <v>5.8699999999999957</v>
      </c>
      <c r="Z457" s="43">
        <f t="shared" si="123"/>
        <v>29.349999999999994</v>
      </c>
      <c r="AA457" s="44" t="str">
        <f t="shared" si="124"/>
        <v>OK</v>
      </c>
    </row>
    <row r="458" spans="1:27" ht="15" customHeight="1" x14ac:dyDescent="0.25">
      <c r="A458" s="12" t="s">
        <v>802</v>
      </c>
      <c r="B458" s="40">
        <v>5.73</v>
      </c>
      <c r="C458" s="12" t="s">
        <v>803</v>
      </c>
      <c r="D458" s="40">
        <v>20.5</v>
      </c>
      <c r="E458" s="13">
        <f t="shared" ref="E458:E460" si="125">D458*G458</f>
        <v>2.46</v>
      </c>
      <c r="F458" s="14"/>
      <c r="G458" s="15">
        <v>0.12</v>
      </c>
      <c r="H458" s="40">
        <v>6.75</v>
      </c>
      <c r="I458" s="40">
        <v>0</v>
      </c>
      <c r="J458" s="13">
        <f t="shared" si="111"/>
        <v>11.29</v>
      </c>
      <c r="K458" s="13"/>
      <c r="L458" s="15">
        <f t="shared" si="112"/>
        <v>0.08</v>
      </c>
      <c r="M458" s="13">
        <f t="shared" si="113"/>
        <v>1.6400000000000001</v>
      </c>
      <c r="N458" s="13">
        <f t="shared" si="114"/>
        <v>3.9199999999999986</v>
      </c>
      <c r="O458" s="15">
        <f t="shared" si="115"/>
        <v>0.19121951219512187</v>
      </c>
      <c r="P458" s="16">
        <f t="shared" si="116"/>
        <v>20.799999999999997</v>
      </c>
      <c r="Q458" s="41">
        <f t="shared" si="117"/>
        <v>0.19999999999999996</v>
      </c>
      <c r="T458" s="42"/>
      <c r="U458" s="16">
        <f t="shared" si="118"/>
        <v>24.959999999999997</v>
      </c>
      <c r="V458" s="41">
        <f t="shared" si="119"/>
        <v>0.16666666666666674</v>
      </c>
      <c r="W458" s="17">
        <f t="shared" si="120"/>
        <v>0.29999999999999988</v>
      </c>
      <c r="X458" s="41">
        <f t="shared" si="121"/>
        <v>0.19999999999999996</v>
      </c>
      <c r="Y458" s="43">
        <f t="shared" si="122"/>
        <v>4.1599999999999984</v>
      </c>
      <c r="Z458" s="43">
        <f t="shared" si="123"/>
        <v>20.799999999999997</v>
      </c>
      <c r="AA458" s="44" t="str">
        <f t="shared" si="124"/>
        <v>OK</v>
      </c>
    </row>
    <row r="459" spans="1:27" ht="15" customHeight="1" x14ac:dyDescent="0.25">
      <c r="A459" s="12" t="s">
        <v>804</v>
      </c>
      <c r="B459" s="40">
        <v>5.73</v>
      </c>
      <c r="C459" s="12" t="s">
        <v>805</v>
      </c>
      <c r="D459" s="40">
        <v>20.5</v>
      </c>
      <c r="E459" s="13">
        <f t="shared" si="125"/>
        <v>2.46</v>
      </c>
      <c r="F459" s="14"/>
      <c r="G459" s="15">
        <v>0.12</v>
      </c>
      <c r="H459" s="40">
        <v>0</v>
      </c>
      <c r="I459" s="40">
        <v>18.850000000000001</v>
      </c>
      <c r="J459" s="13">
        <f t="shared" si="111"/>
        <v>18.04</v>
      </c>
      <c r="K459" s="13"/>
      <c r="L459" s="15">
        <f t="shared" si="112"/>
        <v>0.08</v>
      </c>
      <c r="M459" s="13">
        <f t="shared" si="113"/>
        <v>1.6400000000000001</v>
      </c>
      <c r="N459" s="13">
        <f t="shared" si="114"/>
        <v>10.669999999999998</v>
      </c>
      <c r="O459" s="15">
        <f t="shared" si="115"/>
        <v>0.52048780487804869</v>
      </c>
      <c r="P459" s="16">
        <f t="shared" si="116"/>
        <v>9.5499999999999989</v>
      </c>
      <c r="Q459" s="41">
        <f t="shared" si="117"/>
        <v>0.19999999999999996</v>
      </c>
      <c r="T459" s="42"/>
      <c r="U459" s="16">
        <f t="shared" si="118"/>
        <v>11.459999999999999</v>
      </c>
      <c r="V459" s="41">
        <f t="shared" si="119"/>
        <v>0.16666666666666674</v>
      </c>
      <c r="W459" s="17">
        <f t="shared" si="120"/>
        <v>0.29999999999999993</v>
      </c>
      <c r="X459" s="41">
        <f t="shared" si="121"/>
        <v>0.19999999999999996</v>
      </c>
      <c r="Y459" s="43">
        <f t="shared" si="122"/>
        <v>1.9099999999999993</v>
      </c>
      <c r="Z459" s="43">
        <f t="shared" si="123"/>
        <v>9.5499999999999989</v>
      </c>
      <c r="AA459" s="44" t="str">
        <f t="shared" si="124"/>
        <v>OK</v>
      </c>
    </row>
    <row r="460" spans="1:27" ht="15" customHeight="1" x14ac:dyDescent="0.25">
      <c r="A460" s="12" t="s">
        <v>104</v>
      </c>
      <c r="B460" s="40">
        <v>11.75</v>
      </c>
      <c r="C460" s="12" t="s">
        <v>806</v>
      </c>
      <c r="D460" s="40">
        <v>28.9</v>
      </c>
      <c r="E460" s="13">
        <f t="shared" si="125"/>
        <v>3.3235000000000001</v>
      </c>
      <c r="F460" s="14"/>
      <c r="G460" s="15">
        <v>0.115</v>
      </c>
      <c r="H460" s="40">
        <v>0</v>
      </c>
      <c r="I460" s="40">
        <v>13.85</v>
      </c>
      <c r="J460" s="13">
        <f t="shared" si="111"/>
        <v>25.576499999999999</v>
      </c>
      <c r="K460" s="13"/>
      <c r="L460" s="15">
        <f t="shared" si="112"/>
        <v>0.08</v>
      </c>
      <c r="M460" s="13">
        <f t="shared" si="113"/>
        <v>2.3119999999999998</v>
      </c>
      <c r="N460" s="13">
        <f t="shared" si="114"/>
        <v>11.5145</v>
      </c>
      <c r="O460" s="15">
        <f t="shared" si="115"/>
        <v>0.39842560553633222</v>
      </c>
      <c r="P460" s="16">
        <f t="shared" si="116"/>
        <v>19.421487603305785</v>
      </c>
      <c r="Q460" s="41">
        <f t="shared" si="117"/>
        <v>0.2</v>
      </c>
      <c r="T460" s="42"/>
      <c r="U460" s="16">
        <f t="shared" si="118"/>
        <v>23.305785123966942</v>
      </c>
      <c r="V460" s="41">
        <f t="shared" si="119"/>
        <v>0.16666666666666663</v>
      </c>
      <c r="W460" s="17">
        <f t="shared" si="120"/>
        <v>0.30083333333333329</v>
      </c>
      <c r="X460" s="41">
        <f t="shared" si="121"/>
        <v>0.2</v>
      </c>
      <c r="Y460" s="43">
        <f t="shared" si="122"/>
        <v>3.884297520661157</v>
      </c>
      <c r="Z460" s="43">
        <f t="shared" si="123"/>
        <v>19.421487603305785</v>
      </c>
      <c r="AA460" s="44" t="str">
        <f t="shared" si="124"/>
        <v>OK</v>
      </c>
    </row>
    <row r="461" spans="1:27" ht="15" customHeight="1" x14ac:dyDescent="0.25">
      <c r="A461" s="12" t="s">
        <v>39</v>
      </c>
      <c r="B461" s="40">
        <v>41.4</v>
      </c>
      <c r="C461" s="12" t="s">
        <v>807</v>
      </c>
      <c r="D461" s="40">
        <v>125.07</v>
      </c>
      <c r="E461" s="14"/>
      <c r="F461" s="13">
        <f>D461*G461</f>
        <v>20.63655</v>
      </c>
      <c r="G461" s="15">
        <v>0.16500000000000001</v>
      </c>
      <c r="H461" s="40">
        <v>0</v>
      </c>
      <c r="I461" s="40">
        <v>13.85</v>
      </c>
      <c r="J461" s="13">
        <f t="shared" si="111"/>
        <v>90.583449999999999</v>
      </c>
      <c r="K461" s="13"/>
      <c r="L461" s="15">
        <f t="shared" si="112"/>
        <v>0.08</v>
      </c>
      <c r="M461" s="13">
        <f t="shared" si="113"/>
        <v>10.005599999999999</v>
      </c>
      <c r="N461" s="13">
        <f t="shared" si="114"/>
        <v>39.177849999999999</v>
      </c>
      <c r="O461" s="15">
        <f t="shared" si="115"/>
        <v>0.31324738146637882</v>
      </c>
      <c r="P461" s="16">
        <f t="shared" si="116"/>
        <v>74.594594594594597</v>
      </c>
      <c r="Q461" s="41">
        <f t="shared" si="117"/>
        <v>0.2</v>
      </c>
      <c r="T461" s="42"/>
      <c r="U461" s="16">
        <f t="shared" si="118"/>
        <v>89.513513513513516</v>
      </c>
      <c r="V461" s="41">
        <f t="shared" si="119"/>
        <v>0.16666666666666663</v>
      </c>
      <c r="W461" s="17">
        <f t="shared" si="120"/>
        <v>0.13777475845410631</v>
      </c>
      <c r="X461" s="41">
        <f t="shared" si="121"/>
        <v>0.2</v>
      </c>
      <c r="Y461" s="43">
        <f t="shared" si="122"/>
        <v>14.918918918918919</v>
      </c>
      <c r="Z461" s="43">
        <f t="shared" si="123"/>
        <v>74.594594594594597</v>
      </c>
      <c r="AA461" s="44" t="str">
        <f t="shared" si="124"/>
        <v>OK</v>
      </c>
    </row>
    <row r="462" spans="1:27" ht="15" customHeight="1" x14ac:dyDescent="0.25">
      <c r="A462" s="12" t="s">
        <v>808</v>
      </c>
      <c r="B462" s="40">
        <v>37.86</v>
      </c>
      <c r="C462" s="12" t="s">
        <v>809</v>
      </c>
      <c r="D462" s="40">
        <v>89.9</v>
      </c>
      <c r="E462" s="14"/>
      <c r="F462" s="13">
        <f>D462*G462</f>
        <v>14.384</v>
      </c>
      <c r="G462" s="15">
        <v>0.16</v>
      </c>
      <c r="H462" s="40">
        <v>0</v>
      </c>
      <c r="I462" s="40">
        <v>44.05</v>
      </c>
      <c r="J462" s="13">
        <f t="shared" si="111"/>
        <v>31.466000000000008</v>
      </c>
      <c r="K462" s="13"/>
      <c r="L462" s="15">
        <f t="shared" si="112"/>
        <v>0.08</v>
      </c>
      <c r="M462" s="13">
        <f t="shared" si="113"/>
        <v>7.1920000000000002</v>
      </c>
      <c r="N462" s="13">
        <f t="shared" si="114"/>
        <v>-13.585999999999991</v>
      </c>
      <c r="O462" s="15">
        <f t="shared" si="115"/>
        <v>-0.15112347052280301</v>
      </c>
      <c r="P462" s="16">
        <f t="shared" si="116"/>
        <v>67.607142857142847</v>
      </c>
      <c r="Q462" s="41">
        <f t="shared" si="117"/>
        <v>0.19999999999999993</v>
      </c>
      <c r="T462" s="42"/>
      <c r="U462" s="16">
        <f t="shared" si="118"/>
        <v>81.128571428571419</v>
      </c>
      <c r="V462" s="41">
        <f t="shared" si="119"/>
        <v>0.16666666666666674</v>
      </c>
      <c r="W462" s="17">
        <f t="shared" si="120"/>
        <v>-0.24963197746082058</v>
      </c>
      <c r="X462" s="41">
        <f t="shared" si="121"/>
        <v>0.19999999999999993</v>
      </c>
      <c r="Y462" s="43">
        <f t="shared" si="122"/>
        <v>13.521428571428565</v>
      </c>
      <c r="Z462" s="43">
        <f t="shared" si="123"/>
        <v>67.607142857142847</v>
      </c>
      <c r="AA462" s="44" t="str">
        <f t="shared" si="124"/>
        <v>OK</v>
      </c>
    </row>
    <row r="463" spans="1:27" ht="15" customHeight="1" x14ac:dyDescent="0.25">
      <c r="A463" s="12" t="s">
        <v>810</v>
      </c>
      <c r="B463" s="40">
        <v>37.86</v>
      </c>
      <c r="C463" s="12" t="s">
        <v>811</v>
      </c>
      <c r="D463" s="40">
        <v>89.9</v>
      </c>
      <c r="E463" s="14"/>
      <c r="F463" s="13">
        <f>D463*G463</f>
        <v>14.384</v>
      </c>
      <c r="G463" s="15">
        <v>0.16</v>
      </c>
      <c r="H463" s="40">
        <v>7.95</v>
      </c>
      <c r="I463" s="40">
        <v>0</v>
      </c>
      <c r="J463" s="13">
        <f t="shared" si="111"/>
        <v>75.516000000000005</v>
      </c>
      <c r="K463" s="13"/>
      <c r="L463" s="15">
        <f t="shared" si="112"/>
        <v>0.08</v>
      </c>
      <c r="M463" s="13">
        <f t="shared" si="113"/>
        <v>7.1920000000000002</v>
      </c>
      <c r="N463" s="13">
        <f t="shared" si="114"/>
        <v>30.464000000000006</v>
      </c>
      <c r="O463" s="15">
        <f t="shared" si="115"/>
        <v>0.33886540600667414</v>
      </c>
      <c r="P463" s="16">
        <f t="shared" si="116"/>
        <v>78.989999999999995</v>
      </c>
      <c r="Q463" s="41">
        <f t="shared" si="117"/>
        <v>0.18005317128750459</v>
      </c>
      <c r="T463" s="42"/>
      <c r="U463" s="16">
        <f t="shared" si="118"/>
        <v>94.787999999999997</v>
      </c>
      <c r="V463" s="41">
        <f t="shared" si="119"/>
        <v>0.16666666666666674</v>
      </c>
      <c r="W463" s="17">
        <f t="shared" si="120"/>
        <v>0.36058235219648066</v>
      </c>
      <c r="X463" s="41">
        <f t="shared" si="121"/>
        <v>0.18005317128750459</v>
      </c>
      <c r="Y463" s="43">
        <f t="shared" si="122"/>
        <v>14.222399999999986</v>
      </c>
      <c r="Z463" s="43">
        <f t="shared" si="123"/>
        <v>78.989999999999995</v>
      </c>
      <c r="AA463" s="44" t="str">
        <f t="shared" si="124"/>
        <v>Forçado &lt;79 (evita frete)</v>
      </c>
    </row>
    <row r="464" spans="1:27" ht="15" customHeight="1" x14ac:dyDescent="0.25">
      <c r="A464" s="12" t="s">
        <v>812</v>
      </c>
      <c r="B464" s="40">
        <v>226.56</v>
      </c>
      <c r="C464" s="12" t="s">
        <v>813</v>
      </c>
      <c r="D464" s="40">
        <v>454.9</v>
      </c>
      <c r="E464" s="14"/>
      <c r="F464" s="13">
        <f>D464*G464</f>
        <v>59.137</v>
      </c>
      <c r="G464" s="15">
        <v>0.13</v>
      </c>
      <c r="H464" s="40">
        <v>7.95</v>
      </c>
      <c r="I464" s="40">
        <v>0</v>
      </c>
      <c r="J464" s="13">
        <f t="shared" si="111"/>
        <v>395.76299999999998</v>
      </c>
      <c r="K464" s="13"/>
      <c r="L464" s="15">
        <f t="shared" si="112"/>
        <v>0.08</v>
      </c>
      <c r="M464" s="13">
        <f t="shared" si="113"/>
        <v>36.391999999999996</v>
      </c>
      <c r="N464" s="13">
        <f t="shared" si="114"/>
        <v>132.81099999999998</v>
      </c>
      <c r="O464" s="15">
        <f t="shared" si="115"/>
        <v>0.29195647395031871</v>
      </c>
      <c r="P464" s="16">
        <f t="shared" si="116"/>
        <v>383.99999999999994</v>
      </c>
      <c r="Q464" s="41">
        <f t="shared" si="117"/>
        <v>0.1999999999999999</v>
      </c>
      <c r="T464" s="42"/>
      <c r="U464" s="16">
        <f t="shared" si="118"/>
        <v>460.7999999999999</v>
      </c>
      <c r="V464" s="41">
        <f t="shared" si="119"/>
        <v>0.16666666666666663</v>
      </c>
      <c r="W464" s="17">
        <f t="shared" si="120"/>
        <v>0.29833333333333323</v>
      </c>
      <c r="X464" s="41">
        <f t="shared" si="121"/>
        <v>0.1999999999999999</v>
      </c>
      <c r="Y464" s="43">
        <f t="shared" si="122"/>
        <v>76.799999999999955</v>
      </c>
      <c r="Z464" s="43">
        <f t="shared" si="123"/>
        <v>383.99999999999994</v>
      </c>
      <c r="AA464" s="44" t="str">
        <f t="shared" si="124"/>
        <v>⚠ Subiu p/ frete (I=0)</v>
      </c>
    </row>
    <row r="465" spans="1:27" ht="15" customHeight="1" x14ac:dyDescent="0.25">
      <c r="A465" s="12" t="s">
        <v>814</v>
      </c>
      <c r="B465" s="40">
        <v>37.86</v>
      </c>
      <c r="C465" s="12" t="s">
        <v>815</v>
      </c>
      <c r="D465" s="40">
        <v>75.900000000000006</v>
      </c>
      <c r="E465" s="13">
        <f>D465*G465</f>
        <v>8.3490000000000002</v>
      </c>
      <c r="F465" s="14"/>
      <c r="G465" s="15">
        <v>0.11</v>
      </c>
      <c r="H465" s="40">
        <v>0</v>
      </c>
      <c r="I465" s="40">
        <v>44.05</v>
      </c>
      <c r="J465" s="13">
        <f t="shared" si="111"/>
        <v>67.551000000000002</v>
      </c>
      <c r="K465" s="13"/>
      <c r="L465" s="15">
        <f t="shared" si="112"/>
        <v>0.08</v>
      </c>
      <c r="M465" s="13">
        <f t="shared" si="113"/>
        <v>6.072000000000001</v>
      </c>
      <c r="N465" s="13">
        <f t="shared" si="114"/>
        <v>23.619</v>
      </c>
      <c r="O465" s="15">
        <f t="shared" si="115"/>
        <v>0.31118577075098813</v>
      </c>
      <c r="P465" s="16">
        <f t="shared" si="116"/>
        <v>62.065573770491795</v>
      </c>
      <c r="Q465" s="41">
        <f t="shared" si="117"/>
        <v>0.2</v>
      </c>
      <c r="T465" s="42"/>
      <c r="U465" s="16">
        <f t="shared" si="118"/>
        <v>74.478688524590154</v>
      </c>
      <c r="V465" s="41">
        <f t="shared" si="119"/>
        <v>0.16666666666666663</v>
      </c>
      <c r="W465" s="17">
        <f t="shared" si="120"/>
        <v>0.30166666666666664</v>
      </c>
      <c r="X465" s="41">
        <f t="shared" si="121"/>
        <v>0.2</v>
      </c>
      <c r="Y465" s="43">
        <f t="shared" si="122"/>
        <v>12.413114754098359</v>
      </c>
      <c r="Z465" s="43">
        <f t="shared" si="123"/>
        <v>62.065573770491795</v>
      </c>
      <c r="AA465" s="44" t="str">
        <f t="shared" si="124"/>
        <v>OK</v>
      </c>
    </row>
    <row r="466" spans="1:27" ht="15" customHeight="1" x14ac:dyDescent="0.25">
      <c r="A466" s="12" t="s">
        <v>808</v>
      </c>
      <c r="B466" s="40">
        <v>37.86</v>
      </c>
      <c r="C466" s="12" t="s">
        <v>816</v>
      </c>
      <c r="D466" s="40">
        <v>75.900000000000006</v>
      </c>
      <c r="E466" s="13">
        <f>D466*G466</f>
        <v>8.3490000000000002</v>
      </c>
      <c r="F466" s="14"/>
      <c r="G466" s="15">
        <v>0.11</v>
      </c>
      <c r="H466" s="40">
        <v>0</v>
      </c>
      <c r="I466" s="40">
        <v>18.850000000000001</v>
      </c>
      <c r="J466" s="13">
        <f t="shared" si="111"/>
        <v>67.551000000000002</v>
      </c>
      <c r="K466" s="13"/>
      <c r="L466" s="15">
        <f t="shared" si="112"/>
        <v>0.08</v>
      </c>
      <c r="M466" s="13">
        <f t="shared" si="113"/>
        <v>6.072000000000001</v>
      </c>
      <c r="N466" s="13">
        <f t="shared" si="114"/>
        <v>23.619</v>
      </c>
      <c r="O466" s="15">
        <f t="shared" si="115"/>
        <v>0.31118577075098813</v>
      </c>
      <c r="P466" s="16">
        <f t="shared" si="116"/>
        <v>62.065573770491795</v>
      </c>
      <c r="Q466" s="41">
        <f t="shared" si="117"/>
        <v>0.2</v>
      </c>
      <c r="T466" s="42"/>
      <c r="U466" s="16">
        <f t="shared" si="118"/>
        <v>74.478688524590154</v>
      </c>
      <c r="V466" s="41">
        <f t="shared" si="119"/>
        <v>0.16666666666666663</v>
      </c>
      <c r="W466" s="17">
        <f t="shared" si="120"/>
        <v>0.30166666666666664</v>
      </c>
      <c r="X466" s="41">
        <f t="shared" si="121"/>
        <v>0.2</v>
      </c>
      <c r="Y466" s="43">
        <f t="shared" si="122"/>
        <v>12.413114754098359</v>
      </c>
      <c r="Z466" s="43">
        <f t="shared" si="123"/>
        <v>62.065573770491795</v>
      </c>
      <c r="AA466" s="44" t="str">
        <f t="shared" si="124"/>
        <v>OK</v>
      </c>
    </row>
    <row r="467" spans="1:27" ht="15" customHeight="1" x14ac:dyDescent="0.25">
      <c r="A467" s="12" t="s">
        <v>817</v>
      </c>
      <c r="B467" s="40">
        <v>226.56</v>
      </c>
      <c r="C467" s="12" t="s">
        <v>818</v>
      </c>
      <c r="D467" s="40">
        <v>454.9</v>
      </c>
      <c r="E467" s="14"/>
      <c r="F467" s="13">
        <f>D467*G467</f>
        <v>59.137</v>
      </c>
      <c r="G467" s="15">
        <v>0.13</v>
      </c>
      <c r="H467" s="40">
        <v>0</v>
      </c>
      <c r="I467" s="40">
        <v>44.05</v>
      </c>
      <c r="J467" s="13">
        <f t="shared" si="111"/>
        <v>351.71299999999997</v>
      </c>
      <c r="K467" s="13"/>
      <c r="L467" s="15">
        <f t="shared" si="112"/>
        <v>0.08</v>
      </c>
      <c r="M467" s="13">
        <f t="shared" si="113"/>
        <v>36.391999999999996</v>
      </c>
      <c r="N467" s="13">
        <f t="shared" si="114"/>
        <v>88.760999999999967</v>
      </c>
      <c r="O467" s="15">
        <f t="shared" si="115"/>
        <v>0.19512200483622769</v>
      </c>
      <c r="P467" s="16">
        <f t="shared" si="116"/>
        <v>458.6610169491525</v>
      </c>
      <c r="Q467" s="41">
        <f t="shared" si="117"/>
        <v>0.19999999999999984</v>
      </c>
      <c r="T467" s="42"/>
      <c r="U467" s="16">
        <f t="shared" si="118"/>
        <v>550.39322033898293</v>
      </c>
      <c r="V467" s="41">
        <f t="shared" si="119"/>
        <v>0.16666666666666652</v>
      </c>
      <c r="W467" s="17">
        <f t="shared" si="120"/>
        <v>0.29833333333333317</v>
      </c>
      <c r="X467" s="41">
        <f t="shared" si="121"/>
        <v>0.19999999999999984</v>
      </c>
      <c r="Y467" s="43">
        <f t="shared" si="122"/>
        <v>91.732203389830431</v>
      </c>
      <c r="Z467" s="43">
        <f t="shared" si="123"/>
        <v>458.6610169491525</v>
      </c>
      <c r="AA467" s="44" t="str">
        <f t="shared" si="124"/>
        <v>OK</v>
      </c>
    </row>
    <row r="468" spans="1:27" ht="15" customHeight="1" x14ac:dyDescent="0.25">
      <c r="A468" s="12" t="s">
        <v>39</v>
      </c>
      <c r="B468" s="40">
        <v>41.4</v>
      </c>
      <c r="C468" s="12" t="s">
        <v>819</v>
      </c>
      <c r="D468" s="40">
        <v>127.74</v>
      </c>
      <c r="E468" s="13">
        <f>D468*G468</f>
        <v>14.690099999999999</v>
      </c>
      <c r="F468" s="14"/>
      <c r="G468" s="15">
        <v>0.115</v>
      </c>
      <c r="H468" s="40">
        <v>0</v>
      </c>
      <c r="I468" s="40">
        <v>44.05</v>
      </c>
      <c r="J468" s="13">
        <f t="shared" si="111"/>
        <v>68.999899999999997</v>
      </c>
      <c r="K468" s="13"/>
      <c r="L468" s="15">
        <f t="shared" si="112"/>
        <v>0.08</v>
      </c>
      <c r="M468" s="13">
        <f t="shared" si="113"/>
        <v>10.219199999999999</v>
      </c>
      <c r="N468" s="13">
        <f t="shared" si="114"/>
        <v>17.380699999999997</v>
      </c>
      <c r="O468" s="15">
        <f t="shared" si="115"/>
        <v>0.1360630969156098</v>
      </c>
      <c r="P468" s="16">
        <f t="shared" si="116"/>
        <v>68.429752066115697</v>
      </c>
      <c r="Q468" s="41">
        <f t="shared" si="117"/>
        <v>0.2</v>
      </c>
      <c r="T468" s="42"/>
      <c r="U468" s="16">
        <f t="shared" si="118"/>
        <v>82.115702479338836</v>
      </c>
      <c r="V468" s="41">
        <f t="shared" si="119"/>
        <v>0.16666666666666663</v>
      </c>
      <c r="W468" s="17">
        <f t="shared" si="120"/>
        <v>-0.23560487117552339</v>
      </c>
      <c r="X468" s="41">
        <f t="shared" si="121"/>
        <v>0.2</v>
      </c>
      <c r="Y468" s="43">
        <f t="shared" si="122"/>
        <v>13.685950413223139</v>
      </c>
      <c r="Z468" s="43">
        <f t="shared" si="123"/>
        <v>68.429752066115697</v>
      </c>
      <c r="AA468" s="44" t="str">
        <f t="shared" si="124"/>
        <v>OK</v>
      </c>
    </row>
    <row r="469" spans="1:27" ht="15" customHeight="1" x14ac:dyDescent="0.25">
      <c r="A469" s="12" t="s">
        <v>820</v>
      </c>
      <c r="B469" s="40">
        <v>226.56</v>
      </c>
      <c r="C469" s="12" t="s">
        <v>821</v>
      </c>
      <c r="D469" s="40">
        <v>428.9</v>
      </c>
      <c r="E469" s="13">
        <f>D469*G469</f>
        <v>42.89</v>
      </c>
      <c r="F469" s="14"/>
      <c r="G469" s="15">
        <v>0.1</v>
      </c>
      <c r="H469" s="40">
        <v>0</v>
      </c>
      <c r="I469" s="40">
        <v>44.05</v>
      </c>
      <c r="J469" s="13">
        <f t="shared" si="111"/>
        <v>341.96</v>
      </c>
      <c r="K469" s="13"/>
      <c r="L469" s="15">
        <f t="shared" si="112"/>
        <v>0.08</v>
      </c>
      <c r="M469" s="13">
        <f t="shared" si="113"/>
        <v>34.311999999999998</v>
      </c>
      <c r="N469" s="13">
        <f t="shared" si="114"/>
        <v>81.08799999999998</v>
      </c>
      <c r="O469" s="15">
        <f t="shared" si="115"/>
        <v>0.18906038703660524</v>
      </c>
      <c r="P469" s="16">
        <f t="shared" si="116"/>
        <v>436.46774193548384</v>
      </c>
      <c r="Q469" s="41">
        <f t="shared" si="117"/>
        <v>0.19999999999999993</v>
      </c>
      <c r="T469" s="42"/>
      <c r="U469" s="16">
        <f t="shared" si="118"/>
        <v>523.76129032258063</v>
      </c>
      <c r="V469" s="41">
        <f t="shared" si="119"/>
        <v>0.16666666666666674</v>
      </c>
      <c r="W469" s="17">
        <f t="shared" si="120"/>
        <v>0.30333333333333323</v>
      </c>
      <c r="X469" s="41">
        <f t="shared" si="121"/>
        <v>0.19999999999999993</v>
      </c>
      <c r="Y469" s="43">
        <f t="shared" si="122"/>
        <v>87.293548387096735</v>
      </c>
      <c r="Z469" s="43">
        <f t="shared" si="123"/>
        <v>436.46774193548384</v>
      </c>
      <c r="AA469" s="44" t="str">
        <f t="shared" si="124"/>
        <v>OK</v>
      </c>
    </row>
    <row r="470" spans="1:27" ht="15" customHeight="1" x14ac:dyDescent="0.25">
      <c r="A470" s="12" t="s">
        <v>812</v>
      </c>
      <c r="B470" s="40">
        <v>226.56</v>
      </c>
      <c r="C470" s="12" t="s">
        <v>822</v>
      </c>
      <c r="D470" s="40">
        <v>428.9</v>
      </c>
      <c r="E470" s="13">
        <f>D470*G470</f>
        <v>42.89</v>
      </c>
      <c r="F470" s="14"/>
      <c r="G470" s="15">
        <v>0.1</v>
      </c>
      <c r="H470" s="40">
        <v>0</v>
      </c>
      <c r="I470" s="40">
        <v>13.85</v>
      </c>
      <c r="J470" s="13">
        <f t="shared" si="111"/>
        <v>372.15999999999997</v>
      </c>
      <c r="K470" s="13"/>
      <c r="L470" s="15">
        <f t="shared" si="112"/>
        <v>0.08</v>
      </c>
      <c r="M470" s="13">
        <f t="shared" si="113"/>
        <v>34.311999999999998</v>
      </c>
      <c r="N470" s="13">
        <f t="shared" si="114"/>
        <v>111.28799999999997</v>
      </c>
      <c r="O470" s="15">
        <f t="shared" si="115"/>
        <v>0.25947307064583813</v>
      </c>
      <c r="P470" s="16">
        <f t="shared" si="116"/>
        <v>387.75806451612897</v>
      </c>
      <c r="Q470" s="41">
        <f t="shared" si="117"/>
        <v>0.1999999999999999</v>
      </c>
      <c r="T470" s="42"/>
      <c r="U470" s="16">
        <f t="shared" si="118"/>
        <v>465.30967741935473</v>
      </c>
      <c r="V470" s="41">
        <f t="shared" si="119"/>
        <v>0.16666666666666663</v>
      </c>
      <c r="W470" s="17">
        <f t="shared" si="120"/>
        <v>0.30333333333333312</v>
      </c>
      <c r="X470" s="41">
        <f t="shared" si="121"/>
        <v>0.1999999999999999</v>
      </c>
      <c r="Y470" s="43">
        <f t="shared" si="122"/>
        <v>77.55161290322576</v>
      </c>
      <c r="Z470" s="43">
        <f t="shared" si="123"/>
        <v>387.75806451612897</v>
      </c>
      <c r="AA470" s="44" t="str">
        <f t="shared" si="124"/>
        <v>OK</v>
      </c>
    </row>
    <row r="471" spans="1:27" ht="15" customHeight="1" x14ac:dyDescent="0.25">
      <c r="A471" s="12" t="s">
        <v>817</v>
      </c>
      <c r="B471" s="40">
        <v>226.56</v>
      </c>
      <c r="C471" s="12" t="s">
        <v>823</v>
      </c>
      <c r="D471" s="40">
        <v>428.9</v>
      </c>
      <c r="E471" s="13">
        <f>D471*G471</f>
        <v>42.89</v>
      </c>
      <c r="F471" s="14"/>
      <c r="G471" s="15">
        <v>0.1</v>
      </c>
      <c r="H471" s="40">
        <v>0</v>
      </c>
      <c r="I471" s="40">
        <v>44.05</v>
      </c>
      <c r="J471" s="13">
        <f t="shared" si="111"/>
        <v>341.96</v>
      </c>
      <c r="K471" s="13"/>
      <c r="L471" s="15">
        <f t="shared" si="112"/>
        <v>0.08</v>
      </c>
      <c r="M471" s="13">
        <f t="shared" si="113"/>
        <v>34.311999999999998</v>
      </c>
      <c r="N471" s="13">
        <f t="shared" si="114"/>
        <v>81.08799999999998</v>
      </c>
      <c r="O471" s="15">
        <f t="shared" si="115"/>
        <v>0.18906038703660524</v>
      </c>
      <c r="P471" s="16">
        <f t="shared" si="116"/>
        <v>436.46774193548384</v>
      </c>
      <c r="Q471" s="41">
        <f t="shared" si="117"/>
        <v>0.19999999999999993</v>
      </c>
      <c r="T471" s="42"/>
      <c r="U471" s="16">
        <f t="shared" si="118"/>
        <v>523.76129032258063</v>
      </c>
      <c r="V471" s="41">
        <f t="shared" si="119"/>
        <v>0.16666666666666674</v>
      </c>
      <c r="W471" s="17">
        <f t="shared" si="120"/>
        <v>0.30333333333333323</v>
      </c>
      <c r="X471" s="41">
        <f t="shared" si="121"/>
        <v>0.19999999999999993</v>
      </c>
      <c r="Y471" s="43">
        <f t="shared" si="122"/>
        <v>87.293548387096735</v>
      </c>
      <c r="Z471" s="43">
        <f t="shared" si="123"/>
        <v>436.46774193548384</v>
      </c>
      <c r="AA471" s="44" t="str">
        <f t="shared" si="124"/>
        <v>OK</v>
      </c>
    </row>
    <row r="472" spans="1:27" ht="15" customHeight="1" x14ac:dyDescent="0.25">
      <c r="A472" s="12" t="s">
        <v>814</v>
      </c>
      <c r="B472" s="40">
        <v>37.86</v>
      </c>
      <c r="C472" s="12" t="s">
        <v>824</v>
      </c>
      <c r="D472" s="40">
        <v>89.9</v>
      </c>
      <c r="E472" s="14"/>
      <c r="F472" s="13">
        <f>D472*G472</f>
        <v>14.384</v>
      </c>
      <c r="G472" s="15">
        <v>0.16</v>
      </c>
      <c r="H472" s="40">
        <v>7.95</v>
      </c>
      <c r="I472" s="40">
        <v>0</v>
      </c>
      <c r="J472" s="13">
        <f t="shared" si="111"/>
        <v>75.516000000000005</v>
      </c>
      <c r="K472" s="13"/>
      <c r="L472" s="15">
        <f t="shared" si="112"/>
        <v>0.08</v>
      </c>
      <c r="M472" s="13">
        <f t="shared" si="113"/>
        <v>7.1920000000000002</v>
      </c>
      <c r="N472" s="13">
        <f t="shared" si="114"/>
        <v>30.464000000000006</v>
      </c>
      <c r="O472" s="15">
        <f t="shared" si="115"/>
        <v>0.33886540600667414</v>
      </c>
      <c r="P472" s="16">
        <f t="shared" si="116"/>
        <v>78.989999999999995</v>
      </c>
      <c r="Q472" s="41">
        <f t="shared" si="117"/>
        <v>0.18005317128750459</v>
      </c>
      <c r="T472" s="42"/>
      <c r="U472" s="16">
        <f t="shared" si="118"/>
        <v>94.787999999999997</v>
      </c>
      <c r="V472" s="41">
        <f t="shared" si="119"/>
        <v>0.16666666666666674</v>
      </c>
      <c r="W472" s="17">
        <f t="shared" si="120"/>
        <v>0.36058235219648066</v>
      </c>
      <c r="X472" s="41">
        <f t="shared" si="121"/>
        <v>0.18005317128750459</v>
      </c>
      <c r="Y472" s="43">
        <f t="shared" si="122"/>
        <v>14.222399999999986</v>
      </c>
      <c r="Z472" s="43">
        <f t="shared" si="123"/>
        <v>78.989999999999995</v>
      </c>
      <c r="AA472" s="44" t="str">
        <f t="shared" si="124"/>
        <v>Forçado &lt;79 (evita frete)</v>
      </c>
    </row>
    <row r="473" spans="1:27" ht="15" customHeight="1" x14ac:dyDescent="0.25">
      <c r="A473" s="12" t="s">
        <v>820</v>
      </c>
      <c r="B473" s="40">
        <v>226.56</v>
      </c>
      <c r="C473" s="12" t="s">
        <v>825</v>
      </c>
      <c r="D473" s="40">
        <v>454.9</v>
      </c>
      <c r="E473" s="14"/>
      <c r="F473" s="13">
        <f>D473*G473</f>
        <v>59.137</v>
      </c>
      <c r="G473" s="15">
        <v>0.13</v>
      </c>
      <c r="H473" s="40">
        <v>8.5500000000000007</v>
      </c>
      <c r="I473" s="40">
        <v>0</v>
      </c>
      <c r="J473" s="13">
        <f t="shared" si="111"/>
        <v>395.76299999999998</v>
      </c>
      <c r="K473" s="13"/>
      <c r="L473" s="15">
        <f t="shared" si="112"/>
        <v>0.08</v>
      </c>
      <c r="M473" s="13">
        <f t="shared" si="113"/>
        <v>36.391999999999996</v>
      </c>
      <c r="N473" s="13">
        <f t="shared" si="114"/>
        <v>132.81099999999998</v>
      </c>
      <c r="O473" s="15">
        <f t="shared" si="115"/>
        <v>0.29195647395031871</v>
      </c>
      <c r="P473" s="16">
        <f t="shared" si="116"/>
        <v>383.99999999999994</v>
      </c>
      <c r="Q473" s="41">
        <f t="shared" si="117"/>
        <v>0.1999999999999999</v>
      </c>
      <c r="T473" s="42"/>
      <c r="U473" s="16">
        <f t="shared" si="118"/>
        <v>460.7999999999999</v>
      </c>
      <c r="V473" s="41">
        <f t="shared" si="119"/>
        <v>0.16666666666666663</v>
      </c>
      <c r="W473" s="17">
        <f t="shared" si="120"/>
        <v>0.29833333333333323</v>
      </c>
      <c r="X473" s="41">
        <f t="shared" si="121"/>
        <v>0.1999999999999999</v>
      </c>
      <c r="Y473" s="43">
        <f t="shared" si="122"/>
        <v>76.799999999999955</v>
      </c>
      <c r="Z473" s="43">
        <f t="shared" si="123"/>
        <v>383.99999999999994</v>
      </c>
      <c r="AA473" s="44" t="str">
        <f t="shared" si="124"/>
        <v>⚠ Subiu p/ frete (I=0)</v>
      </c>
    </row>
    <row r="474" spans="1:27" ht="15" customHeight="1" x14ac:dyDescent="0.25">
      <c r="A474" s="12" t="s">
        <v>810</v>
      </c>
      <c r="B474" s="40">
        <v>37.86</v>
      </c>
      <c r="C474" s="12" t="s">
        <v>826</v>
      </c>
      <c r="D474" s="40">
        <v>75.900000000000006</v>
      </c>
      <c r="E474" s="13">
        <f>D474*G474</f>
        <v>8.3490000000000002</v>
      </c>
      <c r="F474" s="14"/>
      <c r="G474" s="15">
        <v>0.11</v>
      </c>
      <c r="H474" s="46">
        <v>0</v>
      </c>
      <c r="I474" s="46">
        <v>0</v>
      </c>
      <c r="J474" s="13">
        <f t="shared" si="111"/>
        <v>67.551000000000002</v>
      </c>
      <c r="K474" s="13"/>
      <c r="L474" s="15">
        <f t="shared" si="112"/>
        <v>0.08</v>
      </c>
      <c r="M474" s="13">
        <f t="shared" si="113"/>
        <v>6.072000000000001</v>
      </c>
      <c r="N474" s="13">
        <f t="shared" si="114"/>
        <v>23.619</v>
      </c>
      <c r="O474" s="15">
        <f t="shared" si="115"/>
        <v>0.31118577075098813</v>
      </c>
      <c r="P474" s="16">
        <f t="shared" si="116"/>
        <v>62.065573770491795</v>
      </c>
      <c r="Q474" s="41">
        <f t="shared" si="117"/>
        <v>0.2</v>
      </c>
      <c r="T474" s="42"/>
      <c r="U474" s="16">
        <f t="shared" si="118"/>
        <v>74.478688524590154</v>
      </c>
      <c r="V474" s="41">
        <f t="shared" si="119"/>
        <v>0.16666666666666663</v>
      </c>
      <c r="W474" s="17">
        <f t="shared" si="120"/>
        <v>0.30166666666666664</v>
      </c>
      <c r="X474" s="41">
        <f t="shared" si="121"/>
        <v>0.2</v>
      </c>
      <c r="Y474" s="43">
        <f t="shared" si="122"/>
        <v>12.413114754098359</v>
      </c>
      <c r="Z474" s="43">
        <f t="shared" si="123"/>
        <v>62.065573770491795</v>
      </c>
      <c r="AA474" s="44" t="str">
        <f t="shared" si="124"/>
        <v>OK</v>
      </c>
    </row>
    <row r="475" spans="1:27" ht="15" customHeight="1" x14ac:dyDescent="0.25">
      <c r="A475" s="12" t="s">
        <v>356</v>
      </c>
      <c r="B475" s="40">
        <v>3.7</v>
      </c>
      <c r="C475" s="12" t="s">
        <v>827</v>
      </c>
      <c r="D475" s="40">
        <v>17.899999999999999</v>
      </c>
      <c r="E475" s="13">
        <f>D475*G475</f>
        <v>2.327</v>
      </c>
      <c r="F475" s="14"/>
      <c r="G475" s="15">
        <v>0.13</v>
      </c>
      <c r="H475" s="46">
        <v>0</v>
      </c>
      <c r="I475" s="46">
        <v>0</v>
      </c>
      <c r="J475" s="13">
        <f t="shared" si="111"/>
        <v>15.572999999999999</v>
      </c>
      <c r="K475" s="13"/>
      <c r="L475" s="15">
        <f t="shared" si="112"/>
        <v>0.08</v>
      </c>
      <c r="M475" s="13">
        <f t="shared" si="113"/>
        <v>1.4319999999999999</v>
      </c>
      <c r="N475" s="13">
        <f t="shared" si="114"/>
        <v>10.440999999999997</v>
      </c>
      <c r="O475" s="15">
        <f t="shared" si="115"/>
        <v>0.58329608938547473</v>
      </c>
      <c r="P475" s="16">
        <f t="shared" si="116"/>
        <v>6.2711864406779654</v>
      </c>
      <c r="Q475" s="41">
        <f t="shared" si="117"/>
        <v>0.19999999999999993</v>
      </c>
      <c r="T475" s="42"/>
      <c r="U475" s="16">
        <f t="shared" si="118"/>
        <v>7.5254237288135579</v>
      </c>
      <c r="V475" s="41">
        <f t="shared" si="119"/>
        <v>0.16666666666666663</v>
      </c>
      <c r="W475" s="17">
        <f t="shared" si="120"/>
        <v>0.29833333333333323</v>
      </c>
      <c r="X475" s="41">
        <f t="shared" si="121"/>
        <v>0.19999999999999993</v>
      </c>
      <c r="Y475" s="43">
        <f t="shared" si="122"/>
        <v>1.2542372881355925</v>
      </c>
      <c r="Z475" s="43">
        <f t="shared" si="123"/>
        <v>6.2711864406779654</v>
      </c>
      <c r="AA475" s="44" t="str">
        <f t="shared" si="124"/>
        <v>OK</v>
      </c>
    </row>
  </sheetData>
  <mergeCells count="2">
    <mergeCell ref="E1:F1"/>
    <mergeCell ref="L1:M1"/>
  </mergeCells>
  <conditionalFormatting sqref="AA3:AA475">
    <cfRule type="expression" dxfId="5" priority="2">
      <formula>ISNUMBER(SEARCH("abaixo",AA3))</formula>
    </cfRule>
    <cfRule type="expression" dxfId="4" priority="3">
      <formula>ISNUMBER(SEARCH("Subiu p/ frete (I=0)",AA3))</formula>
    </cfRule>
    <cfRule type="expression" dxfId="3" priority="4">
      <formula>ISNUMBER(SEARCH("Subiu p/ frete (margem",AA3))</formula>
    </cfRule>
    <cfRule type="expression" dxfId="2" priority="5">
      <formula>ISNUMBER(SEARCH("Forçado",AA3))</formula>
    </cfRule>
    <cfRule type="expression" dxfId="1" priority="6">
      <formula>AA3="Sem custo"</formula>
    </cfRule>
    <cfRule type="expression" dxfId="0" priority="7">
      <formula>AA3="OK"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Loja LiraZ</cp:lastModifiedBy>
  <cp:revision>0</cp:revision>
  <dcterms:created xsi:type="dcterms:W3CDTF">2026-05-26T22:00:03Z</dcterms:created>
  <dcterms:modified xsi:type="dcterms:W3CDTF">2026-05-28T00:19:25Z</dcterms:modified>
  <dc:language>en-US</dc:language>
</cp:coreProperties>
</file>